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6. Engagement\Data\"/>
    </mc:Choice>
  </mc:AlternateContent>
  <xr:revisionPtr revIDLastSave="0" documentId="13_ncr:1_{1B95ED4A-5262-4C17-BBC0-2EF4D3FD9DC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 A.1" sheetId="1" r:id="rId1"/>
    <sheet name="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3" i="1"/>
  <c r="E48" i="2"/>
  <c r="G48" i="2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<sst xmlns="http://schemas.openxmlformats.org/spreadsheetml/2006/main" count="117" uniqueCount="56">
  <si>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</si>
  <si>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</si>
  <si>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</si>
  <si>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</si>
  <si>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</si>
  <si>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</si>
  <si>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</si>
  <si>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</si>
  <si>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Colombia</t>
  </si>
  <si>
    <t>Croatia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</si>
  <si>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</si>
  <si>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</si>
  <si>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</si>
  <si>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</si>
  <si>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</si>
  <si>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</si>
  <si>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</si>
  <si>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</si>
  <si>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</si>
  <si>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</si>
  <si>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</si>
  <si>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</si>
  <si>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</si>
  <si>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</si>
  <si>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</t>
  </si>
  <si>
    <t>Lithuania</t>
  </si>
  <si>
    <t>Mexico</t>
  </si>
  <si>
    <t>Netherlands</t>
  </si>
  <si>
    <t>Norway</t>
  </si>
  <si>
    <t>Poland</t>
  </si>
  <si>
    <t>Portugal</t>
  </si>
  <si>
    <t>Romania</t>
  </si>
  <si>
    <t>Russia</t>
  </si>
  <si>
    <t>Slovenia</t>
  </si>
  <si>
    <t>Spain</t>
  </si>
  <si>
    <t>Sweden</t>
  </si>
  <si>
    <t>Switzerland</t>
  </si>
  <si>
    <t>Türkiye</t>
  </si>
  <si>
    <t>Hong Kong</t>
  </si>
  <si>
    <t>New Zealnd</t>
  </si>
  <si>
    <t>Saudi Auabia</t>
  </si>
  <si>
    <t>South Africa</t>
  </si>
  <si>
    <t>United Kingdom</t>
  </si>
  <si>
    <t>United States</t>
  </si>
  <si>
    <t>Non-domestic</t>
  </si>
  <si>
    <t>Domestic</t>
  </si>
  <si>
    <t>Total</t>
  </si>
  <si>
    <t>Argentina</t>
  </si>
  <si>
    <t>Corporations</t>
  </si>
  <si>
    <t>Individuals</t>
  </si>
  <si>
    <t>Public sector</t>
  </si>
  <si>
    <t>Institutional investors</t>
  </si>
  <si>
    <t>% Instit.</t>
  </si>
  <si>
    <t>Turkey</t>
  </si>
  <si>
    <t>Strategic individuals</t>
  </si>
  <si>
    <t>Other free-float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</si>
</sst>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1" xfId="0" applyFill="1" applyBorder="1"/>
    <xf numFmtId="0" fontId="0" fillId="2" borderId="12" xfId="0" applyFill="1" applyBorder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0" fillId="2" borderId="0" xfId="0" applyFill="1"/>
    <xf numFmtId="0" fontId="0" fillId="2" borderId="10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9" fontId="0" fillId="2" borderId="4" xfId="0" applyNumberFormat="1" applyFill="1" applyBorder="1"/>
    <xf numFmtId="9" fontId="0" fillId="2" borderId="0" xfId="0" applyNumberFormat="1" applyFill="1" applyBorder="1"/>
    <xf numFmtId="9" fontId="0" fillId="2" borderId="5" xfId="0" applyNumberFormat="1" applyFill="1" applyBorder="1"/>
    <xf numFmtId="9" fontId="0" fillId="2" borderId="0" xfId="0" applyNumberFormat="1" applyFill="1"/>
    <xf numFmtId="9" fontId="0" fillId="2" borderId="0" xfId="1" applyFont="1" applyFill="1"/>
    <xf numFmtId="0" fontId="0" fillId="2" borderId="12" xfId="0" applyFill="1" applyBorder="1"/>
    <xf numFmtId="9" fontId="0" fillId="2" borderId="13" xfId="1" applyFont="1" applyFill="1" applyBorder="1"/>
    <xf numFmtId="9" fontId="0" fillId="2" borderId="14" xfId="1" applyFont="1" applyFill="1" applyBorder="1"/>
    <xf numFmtId="9" fontId="0" fillId="2" borderId="12" xfId="1" applyFont="1" applyFill="1" applyBorder="1"/>
    <xf numFmtId="0" fontId="0" fillId="2" borderId="2" xfId="0" applyFill="1" applyBorder="1"/>
    <xf numFmtId="0" fontId="0" fillId="2" borderId="6" xfId="0" applyFill="1" applyBorder="1"/>
    <xf numFmtId="0" fontId="0" fillId="2" borderId="0" xfId="0" applyFill="1" applyAlignment="1">
      <alignment horizontal="center"/>
    </xf>
    <xf numFmtId="9" fontId="0" fillId="2" borderId="0" xfId="1" applyFont="1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9" fontId="0" fillId="2" borderId="10" xfId="0" applyNumberFormat="1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2" borderId="1" xfId="1" applyFont="1" applyFill="1" applyBorder="1" applyAlignment="1">
      <alignment horizontal="center"/>
    </xf>
    <xf numFmtId="9" fontId="0" fillId="2" borderId="14" xfId="1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9" fontId="0" fillId="2" borderId="10" xfId="1" applyFont="1" applyFill="1" applyBorder="1" applyAlignment="1">
      <alignment horizontal="center"/>
    </xf>
    <xf numFmtId="9" fontId="0" fillId="2" borderId="11" xfId="1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8"/>
  <sheetViews>
    <sheetView workbookViewId="0">
      <pane ySplit="2" topLeftCell="A3" activePane="bottomLeft" state="frozen"/>
      <selection pane="bottomLeft" activeCell="R16" sqref="R16"/>
    </sheetView>
  </sheetViews>
  <sheetFormatPr baseColWidth="10" defaultColWidth="8.88671875" defaultRowHeight="14.4" x14ac:dyDescent="0.3"/>
  <cols>
    <col min="1" max="1" width="8.88671875" style="5"/>
    <col min="2" max="2" width="17.44140625" style="5" customWidth="1"/>
    <col min="3" max="17" width="8.88671875" style="5"/>
    <col min="18" max="18" width="5.5546875" style="14" customWidth="1"/>
    <col min="19" max="16384" width="8.88671875" style="5"/>
  </cols>
  <sheetData>
    <row r="1" spans="2:18" ht="15" thickBot="1" x14ac:dyDescent="0.35">
      <c r="B1" s="1"/>
      <c r="C1" s="2" t="s">
        <v>48</v>
      </c>
      <c r="D1" s="3"/>
      <c r="E1" s="3"/>
      <c r="F1" s="2" t="s">
        <v>50</v>
      </c>
      <c r="G1" s="3"/>
      <c r="H1" s="4"/>
      <c r="I1" s="3" t="s">
        <v>49</v>
      </c>
      <c r="J1" s="3"/>
      <c r="K1" s="3"/>
      <c r="L1" s="2" t="s">
        <v>51</v>
      </c>
      <c r="M1" s="3"/>
      <c r="N1" s="4"/>
    </row>
    <row r="2" spans="2:18" x14ac:dyDescent="0.3">
      <c r="B2" s="6"/>
      <c r="C2" s="7" t="s">
        <v>44</v>
      </c>
      <c r="D2" s="8" t="s">
        <v>45</v>
      </c>
      <c r="E2" s="8" t="s">
        <v>46</v>
      </c>
      <c r="F2" s="7" t="s">
        <v>44</v>
      </c>
      <c r="G2" s="8" t="s">
        <v>45</v>
      </c>
      <c r="H2" s="9" t="s">
        <v>46</v>
      </c>
      <c r="I2" s="8" t="s">
        <v>44</v>
      </c>
      <c r="J2" s="8" t="s">
        <v>45</v>
      </c>
      <c r="K2" s="8" t="s">
        <v>46</v>
      </c>
      <c r="L2" s="7" t="s">
        <v>44</v>
      </c>
      <c r="M2" s="8" t="s">
        <v>45</v>
      </c>
      <c r="N2" s="9" t="s">
        <v>46</v>
      </c>
    </row>
    <row r="3" spans="2:18" x14ac:dyDescent="0.3">
      <c r="B3" s="6" t="s">
        <v>47</v>
      </c>
      <c r="C3" s="10">
        <v>0.14000000000000001</v>
      </c>
      <c r="D3" s="11">
        <v>0.11</v>
      </c>
      <c r="E3" s="11">
        <v>0.25</v>
      </c>
      <c r="F3" s="10">
        <v>0</v>
      </c>
      <c r="G3" s="11">
        <v>0.17</v>
      </c>
      <c r="H3" s="12">
        <v>0.17</v>
      </c>
      <c r="I3" s="11">
        <v>0</v>
      </c>
      <c r="J3" s="11">
        <v>0.17</v>
      </c>
      <c r="K3" s="11">
        <v>0.17</v>
      </c>
      <c r="L3" s="10">
        <v>0.1</v>
      </c>
      <c r="M3" s="11">
        <v>0</v>
      </c>
      <c r="N3" s="12">
        <v>0.1</v>
      </c>
      <c r="O3" s="13">
        <f>SUM(E3,H3,K3,N3)</f>
        <v>0.69000000000000006</v>
      </c>
      <c r="P3" s="13">
        <f>C3+F3+I3+L3</f>
        <v>0.24000000000000002</v>
      </c>
      <c r="Q3" s="13">
        <f>L3</f>
        <v>0.1</v>
      </c>
      <c r="R3" s="14">
        <f>Q3/P3</f>
        <v>0.41666666666666663</v>
      </c>
    </row>
    <row r="4" spans="2:18" x14ac:dyDescent="0.3">
      <c r="B4" s="6" t="s">
        <v>0</v>
      </c>
      <c r="C4" s="10">
        <v>0.02</v>
      </c>
      <c r="D4" s="11">
        <v>0.03</v>
      </c>
      <c r="E4" s="11">
        <v>0.05</v>
      </c>
      <c r="F4" s="10">
        <v>0.02</v>
      </c>
      <c r="G4" s="11">
        <v>0</v>
      </c>
      <c r="H4" s="12">
        <v>0.02</v>
      </c>
      <c r="I4" s="11">
        <v>0</v>
      </c>
      <c r="J4" s="11">
        <v>0.06</v>
      </c>
      <c r="K4" s="11">
        <v>0.06</v>
      </c>
      <c r="L4" s="10">
        <v>0.16</v>
      </c>
      <c r="M4" s="11">
        <v>0.11</v>
      </c>
      <c r="N4" s="12">
        <v>0.27</v>
      </c>
      <c r="O4" s="13">
        <f t="shared" ref="O4:O47" si="0">SUM(E4,H4,K4,N4)</f>
        <v>0.4</v>
      </c>
      <c r="P4" s="13">
        <f t="shared" ref="P4:P47" si="1">C4+F4+I4+L4</f>
        <v>0.2</v>
      </c>
      <c r="Q4" s="13">
        <f t="shared" ref="Q4:Q47" si="2">L4</f>
        <v>0.16</v>
      </c>
      <c r="R4" s="14">
        <f t="shared" ref="R4:R47" si="3">Q4/P4</f>
        <v>0.79999999999999993</v>
      </c>
    </row>
    <row r="5" spans="2:18" x14ac:dyDescent="0.3">
      <c r="B5" s="6" t="s">
        <v>1</v>
      </c>
      <c r="C5" s="10">
        <v>7.0000000000000007E-2</v>
      </c>
      <c r="D5" s="11">
        <v>0.14000000000000001</v>
      </c>
      <c r="E5" s="11">
        <v>0.21</v>
      </c>
      <c r="F5" s="10">
        <v>0.04</v>
      </c>
      <c r="G5" s="11">
        <v>0.19</v>
      </c>
      <c r="H5" s="12">
        <v>0.23</v>
      </c>
      <c r="I5" s="11">
        <v>0.01</v>
      </c>
      <c r="J5" s="11">
        <v>0.05</v>
      </c>
      <c r="K5" s="11">
        <v>0.06</v>
      </c>
      <c r="L5" s="10">
        <v>0.15</v>
      </c>
      <c r="M5" s="11">
        <v>0.08</v>
      </c>
      <c r="N5" s="12">
        <v>0.23</v>
      </c>
      <c r="O5" s="13">
        <f t="shared" si="0"/>
        <v>0.73</v>
      </c>
      <c r="P5" s="13">
        <f t="shared" si="1"/>
        <v>0.27</v>
      </c>
      <c r="Q5" s="13">
        <f t="shared" si="2"/>
        <v>0.15</v>
      </c>
      <c r="R5" s="14">
        <f t="shared" si="3"/>
        <v>0.55555555555555547</v>
      </c>
    </row>
    <row r="6" spans="2:18" x14ac:dyDescent="0.3">
      <c r="B6" s="6" t="s">
        <v>2</v>
      </c>
      <c r="C6" s="10">
        <v>0.12</v>
      </c>
      <c r="D6" s="11">
        <v>0.14000000000000001</v>
      </c>
      <c r="E6" s="11">
        <v>0.26</v>
      </c>
      <c r="F6" s="10">
        <v>0.02</v>
      </c>
      <c r="G6" s="11">
        <v>0.02</v>
      </c>
      <c r="H6" s="12">
        <v>0.03</v>
      </c>
      <c r="I6" s="11">
        <v>0</v>
      </c>
      <c r="J6" s="11">
        <v>7.0000000000000007E-2</v>
      </c>
      <c r="K6" s="11">
        <v>7.0000000000000007E-2</v>
      </c>
      <c r="L6" s="10">
        <v>0.33</v>
      </c>
      <c r="M6" s="11">
        <v>0.02</v>
      </c>
      <c r="N6" s="12">
        <v>0.35</v>
      </c>
      <c r="O6" s="13">
        <f t="shared" si="0"/>
        <v>0.71</v>
      </c>
      <c r="P6" s="13">
        <f t="shared" si="1"/>
        <v>0.47</v>
      </c>
      <c r="Q6" s="13">
        <f t="shared" si="2"/>
        <v>0.33</v>
      </c>
      <c r="R6" s="14">
        <f t="shared" si="3"/>
        <v>0.70212765957446821</v>
      </c>
    </row>
    <row r="7" spans="2:18" x14ac:dyDescent="0.3">
      <c r="B7" s="6" t="s">
        <v>3</v>
      </c>
      <c r="C7" s="10">
        <v>0.1</v>
      </c>
      <c r="D7" s="11">
        <v>0.19</v>
      </c>
      <c r="E7" s="11">
        <v>0.28999999999999998</v>
      </c>
      <c r="F7" s="10">
        <v>0.03</v>
      </c>
      <c r="G7" s="11">
        <v>7.0000000000000007E-2</v>
      </c>
      <c r="H7" s="12">
        <v>0.1</v>
      </c>
      <c r="I7" s="11">
        <v>0</v>
      </c>
      <c r="J7" s="11">
        <v>0.08</v>
      </c>
      <c r="K7" s="11">
        <v>0.08</v>
      </c>
      <c r="L7" s="10">
        <v>0.17</v>
      </c>
      <c r="M7" s="11">
        <v>0.09</v>
      </c>
      <c r="N7" s="12">
        <v>0.27</v>
      </c>
      <c r="O7" s="13">
        <f t="shared" si="0"/>
        <v>0.74</v>
      </c>
      <c r="P7" s="13">
        <f t="shared" si="1"/>
        <v>0.30000000000000004</v>
      </c>
      <c r="Q7" s="13">
        <f t="shared" si="2"/>
        <v>0.17</v>
      </c>
      <c r="R7" s="14">
        <f t="shared" si="3"/>
        <v>0.56666666666666665</v>
      </c>
    </row>
    <row r="8" spans="2:18" x14ac:dyDescent="0.3">
      <c r="B8" s="6" t="s">
        <v>4</v>
      </c>
      <c r="C8" s="10">
        <v>0.68</v>
      </c>
      <c r="D8" s="11">
        <v>7.0000000000000007E-2</v>
      </c>
      <c r="E8" s="11">
        <v>0.75</v>
      </c>
      <c r="F8" s="10">
        <v>0.02</v>
      </c>
      <c r="G8" s="11">
        <v>0</v>
      </c>
      <c r="H8" s="12">
        <v>0.02</v>
      </c>
      <c r="I8" s="11">
        <v>0</v>
      </c>
      <c r="J8" s="11">
        <v>0.09</v>
      </c>
      <c r="K8" s="11">
        <v>0.09</v>
      </c>
      <c r="L8" s="10">
        <v>0</v>
      </c>
      <c r="M8" s="11">
        <v>0.01</v>
      </c>
      <c r="N8" s="12">
        <v>0.01</v>
      </c>
      <c r="O8" s="13">
        <f t="shared" si="0"/>
        <v>0.87</v>
      </c>
      <c r="P8" s="13">
        <f t="shared" si="1"/>
        <v>0.70000000000000007</v>
      </c>
      <c r="Q8" s="13">
        <f t="shared" si="2"/>
        <v>0</v>
      </c>
      <c r="R8" s="14">
        <f t="shared" si="3"/>
        <v>0</v>
      </c>
    </row>
    <row r="9" spans="2:18" x14ac:dyDescent="0.3">
      <c r="B9" s="6" t="s">
        <v>5</v>
      </c>
      <c r="C9" s="10">
        <v>0.02</v>
      </c>
      <c r="D9" s="11">
        <v>0.04</v>
      </c>
      <c r="E9" s="11">
        <v>0.06</v>
      </c>
      <c r="F9" s="10">
        <v>0.01</v>
      </c>
      <c r="G9" s="11">
        <v>0.02</v>
      </c>
      <c r="H9" s="12">
        <v>0.04</v>
      </c>
      <c r="I9" s="11">
        <v>0</v>
      </c>
      <c r="J9" s="11">
        <v>0.03</v>
      </c>
      <c r="K9" s="11">
        <v>0.04</v>
      </c>
      <c r="L9" s="10">
        <v>0.23</v>
      </c>
      <c r="M9" s="11">
        <v>0.24</v>
      </c>
      <c r="N9" s="12">
        <v>0.46</v>
      </c>
      <c r="O9" s="13">
        <f t="shared" si="0"/>
        <v>0.60000000000000009</v>
      </c>
      <c r="P9" s="13">
        <f t="shared" si="1"/>
        <v>0.26</v>
      </c>
      <c r="Q9" s="13">
        <f t="shared" si="2"/>
        <v>0.23</v>
      </c>
      <c r="R9" s="14">
        <f t="shared" si="3"/>
        <v>0.88461538461538458</v>
      </c>
    </row>
    <row r="10" spans="2:18" x14ac:dyDescent="0.3">
      <c r="B10" s="6" t="s">
        <v>6</v>
      </c>
      <c r="C10" s="10">
        <v>0.18</v>
      </c>
      <c r="D10" s="11">
        <v>0.36</v>
      </c>
      <c r="E10" s="11">
        <v>0.54</v>
      </c>
      <c r="F10" s="10">
        <v>0.01</v>
      </c>
      <c r="G10" s="11">
        <v>0</v>
      </c>
      <c r="H10" s="12">
        <v>0.01</v>
      </c>
      <c r="I10" s="11">
        <v>0</v>
      </c>
      <c r="J10" s="11">
        <v>0.13</v>
      </c>
      <c r="K10" s="11">
        <v>0.13</v>
      </c>
      <c r="L10" s="10">
        <v>0.06</v>
      </c>
      <c r="M10" s="11">
        <v>0.06</v>
      </c>
      <c r="N10" s="12">
        <v>0.12</v>
      </c>
      <c r="O10" s="13">
        <f t="shared" si="0"/>
        <v>0.8</v>
      </c>
      <c r="P10" s="13">
        <f t="shared" si="1"/>
        <v>0.25</v>
      </c>
      <c r="Q10" s="13">
        <f t="shared" si="2"/>
        <v>0.06</v>
      </c>
      <c r="R10" s="14">
        <f t="shared" si="3"/>
        <v>0.24</v>
      </c>
    </row>
    <row r="11" spans="2:18" x14ac:dyDescent="0.3">
      <c r="B11" s="6" t="s">
        <v>7</v>
      </c>
      <c r="C11" s="10">
        <v>0.02</v>
      </c>
      <c r="D11" s="11">
        <v>0.09</v>
      </c>
      <c r="E11" s="11">
        <v>0.12</v>
      </c>
      <c r="F11" s="10">
        <v>0</v>
      </c>
      <c r="G11" s="11">
        <v>0.28999999999999998</v>
      </c>
      <c r="H11" s="12">
        <v>0.28999999999999998</v>
      </c>
      <c r="I11" s="11">
        <v>0.01</v>
      </c>
      <c r="J11" s="11">
        <v>0.17</v>
      </c>
      <c r="K11" s="11">
        <v>0.18</v>
      </c>
      <c r="L11" s="10">
        <v>0.03</v>
      </c>
      <c r="M11" s="11">
        <v>0.08</v>
      </c>
      <c r="N11" s="12">
        <v>0.11</v>
      </c>
      <c r="O11" s="13">
        <f t="shared" si="0"/>
        <v>0.7</v>
      </c>
      <c r="P11" s="13">
        <f t="shared" si="1"/>
        <v>0.06</v>
      </c>
      <c r="Q11" s="13">
        <f t="shared" si="2"/>
        <v>0.03</v>
      </c>
      <c r="R11" s="14">
        <f t="shared" si="3"/>
        <v>0.5</v>
      </c>
    </row>
    <row r="12" spans="2:18" x14ac:dyDescent="0.3">
      <c r="B12" s="6" t="s">
        <v>8</v>
      </c>
      <c r="C12" s="10">
        <v>7.0000000000000007E-2</v>
      </c>
      <c r="D12" s="11">
        <v>0.25</v>
      </c>
      <c r="E12" s="11">
        <v>0.32</v>
      </c>
      <c r="F12" s="10">
        <v>0.01</v>
      </c>
      <c r="G12" s="11">
        <v>0.34</v>
      </c>
      <c r="H12" s="12">
        <v>0.35</v>
      </c>
      <c r="I12" s="11">
        <v>0</v>
      </c>
      <c r="J12" s="11">
        <v>0.03</v>
      </c>
      <c r="K12" s="11">
        <v>0.03</v>
      </c>
      <c r="L12" s="10">
        <v>0.06</v>
      </c>
      <c r="M12" s="11">
        <v>0.1</v>
      </c>
      <c r="N12" s="12">
        <v>0.16</v>
      </c>
      <c r="O12" s="13">
        <f t="shared" si="0"/>
        <v>0.86</v>
      </c>
      <c r="P12" s="13">
        <f t="shared" si="1"/>
        <v>0.14000000000000001</v>
      </c>
      <c r="Q12" s="13">
        <f t="shared" si="2"/>
        <v>0.06</v>
      </c>
      <c r="R12" s="14">
        <f t="shared" si="3"/>
        <v>0.42857142857142849</v>
      </c>
    </row>
    <row r="13" spans="2:18" x14ac:dyDescent="0.3">
      <c r="B13" s="6" t="s">
        <v>9</v>
      </c>
      <c r="C13" s="10">
        <v>0.48</v>
      </c>
      <c r="D13" s="11">
        <v>0.09</v>
      </c>
      <c r="E13" s="11">
        <v>0.56999999999999995</v>
      </c>
      <c r="F13" s="10">
        <v>0</v>
      </c>
      <c r="G13" s="11">
        <v>0.17</v>
      </c>
      <c r="H13" s="12">
        <v>0.17</v>
      </c>
      <c r="I13" s="11">
        <v>0</v>
      </c>
      <c r="J13" s="11">
        <v>0.05</v>
      </c>
      <c r="K13" s="11">
        <v>0.05</v>
      </c>
      <c r="L13" s="10">
        <v>0.01</v>
      </c>
      <c r="M13" s="11">
        <v>0.09</v>
      </c>
      <c r="N13" s="12">
        <v>0.1</v>
      </c>
      <c r="O13" s="13">
        <f t="shared" si="0"/>
        <v>0.89</v>
      </c>
      <c r="P13" s="13">
        <f t="shared" si="1"/>
        <v>0.49</v>
      </c>
      <c r="Q13" s="13">
        <f t="shared" si="2"/>
        <v>0.01</v>
      </c>
      <c r="R13" s="14">
        <f t="shared" si="3"/>
        <v>2.0408163265306124E-2</v>
      </c>
    </row>
    <row r="14" spans="2:18" x14ac:dyDescent="0.3">
      <c r="B14" s="6" t="s">
        <v>10</v>
      </c>
      <c r="C14" s="10">
        <v>0</v>
      </c>
      <c r="D14" s="11">
        <v>0.09</v>
      </c>
      <c r="E14" s="11">
        <v>0.1</v>
      </c>
      <c r="F14" s="10">
        <v>0.02</v>
      </c>
      <c r="G14" s="11">
        <v>0.08</v>
      </c>
      <c r="H14" s="12">
        <v>0.1</v>
      </c>
      <c r="I14" s="11">
        <v>0</v>
      </c>
      <c r="J14" s="11">
        <v>0.02</v>
      </c>
      <c r="K14" s="11">
        <v>0.02</v>
      </c>
      <c r="L14" s="10">
        <v>0.27</v>
      </c>
      <c r="M14" s="11">
        <v>0.09</v>
      </c>
      <c r="N14" s="12">
        <v>0.36</v>
      </c>
      <c r="O14" s="13">
        <f t="shared" si="0"/>
        <v>0.57999999999999996</v>
      </c>
      <c r="P14" s="13">
        <f t="shared" si="1"/>
        <v>0.29000000000000004</v>
      </c>
      <c r="Q14" s="13">
        <f t="shared" si="2"/>
        <v>0.27</v>
      </c>
      <c r="R14" s="14">
        <f t="shared" si="3"/>
        <v>0.93103448275862066</v>
      </c>
    </row>
    <row r="15" spans="2:18" x14ac:dyDescent="0.3">
      <c r="B15" s="6" t="s">
        <v>11</v>
      </c>
      <c r="C15" s="10">
        <v>0.04</v>
      </c>
      <c r="D15" s="11">
        <v>0.31</v>
      </c>
      <c r="E15" s="11">
        <v>0.35</v>
      </c>
      <c r="F15" s="10">
        <v>0.01</v>
      </c>
      <c r="G15" s="11">
        <v>0.16</v>
      </c>
      <c r="H15" s="12">
        <v>0.17</v>
      </c>
      <c r="I15" s="11">
        <v>0</v>
      </c>
      <c r="J15" s="11">
        <v>0.14000000000000001</v>
      </c>
      <c r="K15" s="11">
        <v>0.14000000000000001</v>
      </c>
      <c r="L15" s="10">
        <v>7.0000000000000007E-2</v>
      </c>
      <c r="M15" s="11">
        <v>0.04</v>
      </c>
      <c r="N15" s="12">
        <v>0.11</v>
      </c>
      <c r="O15" s="13">
        <f t="shared" si="0"/>
        <v>0.77</v>
      </c>
      <c r="P15" s="13">
        <f t="shared" si="1"/>
        <v>0.12000000000000001</v>
      </c>
      <c r="Q15" s="13">
        <f t="shared" si="2"/>
        <v>7.0000000000000007E-2</v>
      </c>
      <c r="R15" s="14">
        <f t="shared" si="3"/>
        <v>0.58333333333333337</v>
      </c>
    </row>
    <row r="16" spans="2:18" x14ac:dyDescent="0.3">
      <c r="B16" s="6" t="s">
        <v>12</v>
      </c>
      <c r="C16" s="10">
        <v>0.01</v>
      </c>
      <c r="D16" s="11">
        <v>0.03</v>
      </c>
      <c r="E16" s="11">
        <v>0.05</v>
      </c>
      <c r="F16" s="10">
        <v>0.02</v>
      </c>
      <c r="G16" s="11">
        <v>0.15</v>
      </c>
      <c r="H16" s="12">
        <v>0.17</v>
      </c>
      <c r="I16" s="11">
        <v>0</v>
      </c>
      <c r="J16" s="11">
        <v>0.09</v>
      </c>
      <c r="K16" s="11">
        <v>0.09</v>
      </c>
      <c r="L16" s="10">
        <v>0.21</v>
      </c>
      <c r="M16" s="11">
        <v>0.1</v>
      </c>
      <c r="N16" s="12">
        <v>0.31</v>
      </c>
      <c r="O16" s="13">
        <f t="shared" si="0"/>
        <v>0.62000000000000011</v>
      </c>
      <c r="P16" s="13">
        <f t="shared" si="1"/>
        <v>0.24</v>
      </c>
      <c r="Q16" s="13">
        <f t="shared" si="2"/>
        <v>0.21</v>
      </c>
      <c r="R16" s="14">
        <f t="shared" si="3"/>
        <v>0.875</v>
      </c>
    </row>
    <row r="17" spans="2:18" x14ac:dyDescent="0.3">
      <c r="B17" s="6" t="s">
        <v>13</v>
      </c>
      <c r="C17" s="10">
        <v>0.05</v>
      </c>
      <c r="D17" s="11">
        <v>0.15</v>
      </c>
      <c r="E17" s="11">
        <v>0.2</v>
      </c>
      <c r="F17" s="10">
        <v>0.03</v>
      </c>
      <c r="G17" s="11">
        <v>0.04</v>
      </c>
      <c r="H17" s="12">
        <v>0.06</v>
      </c>
      <c r="I17" s="11">
        <v>0.01</v>
      </c>
      <c r="J17" s="11">
        <v>0.13</v>
      </c>
      <c r="K17" s="11">
        <v>0.14000000000000001</v>
      </c>
      <c r="L17" s="10">
        <v>0.21</v>
      </c>
      <c r="M17" s="11">
        <v>0.06</v>
      </c>
      <c r="N17" s="12">
        <v>0.27</v>
      </c>
      <c r="O17" s="13">
        <f t="shared" si="0"/>
        <v>0.67</v>
      </c>
      <c r="P17" s="13">
        <f t="shared" si="1"/>
        <v>0.3</v>
      </c>
      <c r="Q17" s="13">
        <f t="shared" si="2"/>
        <v>0.21</v>
      </c>
      <c r="R17" s="14">
        <f t="shared" si="3"/>
        <v>0.7</v>
      </c>
    </row>
    <row r="18" spans="2:18" x14ac:dyDescent="0.3">
      <c r="B18" s="6" t="s">
        <v>14</v>
      </c>
      <c r="C18" s="10">
        <v>0.04</v>
      </c>
      <c r="D18" s="11">
        <v>0.11</v>
      </c>
      <c r="E18" s="11">
        <v>0.15</v>
      </c>
      <c r="F18" s="10">
        <v>0.04</v>
      </c>
      <c r="G18" s="11">
        <v>0.03</v>
      </c>
      <c r="H18" s="12">
        <v>7.0000000000000007E-2</v>
      </c>
      <c r="I18" s="11">
        <v>0.01</v>
      </c>
      <c r="J18" s="11">
        <v>0.08</v>
      </c>
      <c r="K18" s="11">
        <v>0.1</v>
      </c>
      <c r="L18" s="10">
        <v>0.23</v>
      </c>
      <c r="M18" s="11">
        <v>7.0000000000000007E-2</v>
      </c>
      <c r="N18" s="12">
        <v>0.3</v>
      </c>
      <c r="O18" s="13">
        <f t="shared" si="0"/>
        <v>0.62</v>
      </c>
      <c r="P18" s="13">
        <f t="shared" si="1"/>
        <v>0.32</v>
      </c>
      <c r="Q18" s="13">
        <f t="shared" si="2"/>
        <v>0.23</v>
      </c>
      <c r="R18" s="14">
        <f t="shared" si="3"/>
        <v>0.71875</v>
      </c>
    </row>
    <row r="19" spans="2:18" x14ac:dyDescent="0.3">
      <c r="B19" s="6" t="s">
        <v>15</v>
      </c>
      <c r="C19" s="10">
        <v>0.16</v>
      </c>
      <c r="D19" s="11">
        <v>0.08</v>
      </c>
      <c r="E19" s="11">
        <v>0.25</v>
      </c>
      <c r="F19" s="10">
        <v>0.02</v>
      </c>
      <c r="G19" s="11">
        <v>0.09</v>
      </c>
      <c r="H19" s="12">
        <v>0.11</v>
      </c>
      <c r="I19" s="11">
        <v>0</v>
      </c>
      <c r="J19" s="11">
        <v>0.14000000000000001</v>
      </c>
      <c r="K19" s="11">
        <v>0.14000000000000001</v>
      </c>
      <c r="L19" s="10">
        <v>0.14000000000000001</v>
      </c>
      <c r="M19" s="11">
        <v>0.02</v>
      </c>
      <c r="N19" s="12">
        <v>0.16</v>
      </c>
      <c r="O19" s="13">
        <f t="shared" si="0"/>
        <v>0.66</v>
      </c>
      <c r="P19" s="13">
        <f t="shared" si="1"/>
        <v>0.32</v>
      </c>
      <c r="Q19" s="13">
        <f t="shared" si="2"/>
        <v>0.14000000000000001</v>
      </c>
      <c r="R19" s="14">
        <f t="shared" si="3"/>
        <v>0.43750000000000006</v>
      </c>
    </row>
    <row r="20" spans="2:18" x14ac:dyDescent="0.3">
      <c r="B20" s="6" t="s">
        <v>38</v>
      </c>
      <c r="C20" s="10">
        <v>0.19</v>
      </c>
      <c r="D20" s="11">
        <v>0.03</v>
      </c>
      <c r="E20" s="11">
        <v>0.22</v>
      </c>
      <c r="F20" s="10">
        <v>0.1</v>
      </c>
      <c r="G20" s="11">
        <v>0.01</v>
      </c>
      <c r="H20" s="12">
        <v>0.11</v>
      </c>
      <c r="I20" s="11">
        <v>0.11</v>
      </c>
      <c r="J20" s="11">
        <v>0.08</v>
      </c>
      <c r="K20" s="11">
        <v>0.19</v>
      </c>
      <c r="L20" s="10">
        <v>0.15</v>
      </c>
      <c r="M20" s="11">
        <v>0.03</v>
      </c>
      <c r="N20" s="12">
        <v>0.18</v>
      </c>
      <c r="O20" s="13">
        <f t="shared" si="0"/>
        <v>0.7</v>
      </c>
      <c r="P20" s="13">
        <f t="shared" si="1"/>
        <v>0.55000000000000004</v>
      </c>
      <c r="Q20" s="13">
        <f t="shared" si="2"/>
        <v>0.15</v>
      </c>
      <c r="R20" s="14">
        <f t="shared" si="3"/>
        <v>0.27272727272727271</v>
      </c>
    </row>
    <row r="21" spans="2:18" x14ac:dyDescent="0.3">
      <c r="B21" s="6" t="s">
        <v>16</v>
      </c>
      <c r="C21" s="10">
        <v>7.0000000000000007E-2</v>
      </c>
      <c r="D21" s="11">
        <v>0.14000000000000001</v>
      </c>
      <c r="E21" s="11">
        <v>0.21</v>
      </c>
      <c r="F21" s="10">
        <v>0.02</v>
      </c>
      <c r="G21" s="11">
        <v>0.02</v>
      </c>
      <c r="H21" s="12">
        <v>0.05</v>
      </c>
      <c r="I21" s="11">
        <v>0</v>
      </c>
      <c r="J21" s="11">
        <v>0.05</v>
      </c>
      <c r="K21" s="11">
        <v>0.06</v>
      </c>
      <c r="L21" s="10">
        <v>0.26</v>
      </c>
      <c r="M21" s="11">
        <v>0.06</v>
      </c>
      <c r="N21" s="12">
        <v>0.32</v>
      </c>
      <c r="O21" s="13">
        <f t="shared" si="0"/>
        <v>0.64</v>
      </c>
      <c r="P21" s="13">
        <f t="shared" si="1"/>
        <v>0.35000000000000003</v>
      </c>
      <c r="Q21" s="13">
        <f t="shared" si="2"/>
        <v>0.26</v>
      </c>
      <c r="R21" s="14">
        <f t="shared" si="3"/>
        <v>0.74285714285714277</v>
      </c>
    </row>
    <row r="22" spans="2:18" x14ac:dyDescent="0.3">
      <c r="B22" s="6" t="s">
        <v>17</v>
      </c>
      <c r="C22" s="10">
        <v>0</v>
      </c>
      <c r="D22" s="11">
        <v>0.08</v>
      </c>
      <c r="E22" s="11">
        <v>0.09</v>
      </c>
      <c r="F22" s="10">
        <v>0</v>
      </c>
      <c r="G22" s="11">
        <v>0.01</v>
      </c>
      <c r="H22" s="12">
        <v>0.01</v>
      </c>
      <c r="I22" s="11">
        <v>0.01</v>
      </c>
      <c r="J22" s="11">
        <v>0.05</v>
      </c>
      <c r="K22" s="11">
        <v>7.0000000000000007E-2</v>
      </c>
      <c r="L22" s="10">
        <v>0.16</v>
      </c>
      <c r="M22" s="11">
        <v>0.51</v>
      </c>
      <c r="N22" s="12">
        <v>0.66</v>
      </c>
      <c r="O22" s="13">
        <f t="shared" si="0"/>
        <v>0.83000000000000007</v>
      </c>
      <c r="P22" s="13">
        <f t="shared" si="1"/>
        <v>0.17</v>
      </c>
      <c r="Q22" s="13">
        <f t="shared" si="2"/>
        <v>0.16</v>
      </c>
      <c r="R22" s="14">
        <f t="shared" si="3"/>
        <v>0.94117647058823528</v>
      </c>
    </row>
    <row r="23" spans="2:18" x14ac:dyDescent="0.3">
      <c r="B23" s="6" t="s">
        <v>18</v>
      </c>
      <c r="C23" s="10">
        <v>0.09</v>
      </c>
      <c r="D23" s="11">
        <v>0.24</v>
      </c>
      <c r="E23" s="11">
        <v>0.33</v>
      </c>
      <c r="F23" s="10">
        <v>0.01</v>
      </c>
      <c r="G23" s="11">
        <v>0.11</v>
      </c>
      <c r="H23" s="12">
        <v>0.12</v>
      </c>
      <c r="I23" s="11">
        <v>0</v>
      </c>
      <c r="J23" s="11">
        <v>0.11</v>
      </c>
      <c r="K23" s="11">
        <v>0.11</v>
      </c>
      <c r="L23" s="10">
        <v>0.13</v>
      </c>
      <c r="M23" s="11">
        <v>0.09</v>
      </c>
      <c r="N23" s="12">
        <v>0.22</v>
      </c>
      <c r="O23" s="13">
        <f t="shared" si="0"/>
        <v>0.78</v>
      </c>
      <c r="P23" s="13">
        <f t="shared" si="1"/>
        <v>0.22999999999999998</v>
      </c>
      <c r="Q23" s="13">
        <f t="shared" si="2"/>
        <v>0.13</v>
      </c>
      <c r="R23" s="14">
        <f t="shared" si="3"/>
        <v>0.56521739130434789</v>
      </c>
    </row>
    <row r="24" spans="2:18" x14ac:dyDescent="0.3">
      <c r="B24" s="6" t="s">
        <v>19</v>
      </c>
      <c r="C24" s="10">
        <v>0.17</v>
      </c>
      <c r="D24" s="11">
        <v>0.25</v>
      </c>
      <c r="E24" s="11">
        <v>0.43</v>
      </c>
      <c r="F24" s="10">
        <v>0.01</v>
      </c>
      <c r="G24" s="11">
        <v>0.15</v>
      </c>
      <c r="H24" s="12">
        <v>0.17</v>
      </c>
      <c r="I24" s="11">
        <v>0.01</v>
      </c>
      <c r="J24" s="11">
        <v>0.1</v>
      </c>
      <c r="K24" s="11">
        <v>0.1</v>
      </c>
      <c r="L24" s="10">
        <v>0.08</v>
      </c>
      <c r="M24" s="11">
        <v>0.01</v>
      </c>
      <c r="N24" s="12">
        <v>0.08</v>
      </c>
      <c r="O24" s="13">
        <f t="shared" si="0"/>
        <v>0.77999999999999992</v>
      </c>
      <c r="P24" s="13">
        <f t="shared" si="1"/>
        <v>0.27</v>
      </c>
      <c r="Q24" s="13">
        <f t="shared" si="2"/>
        <v>0.08</v>
      </c>
      <c r="R24" s="14">
        <f t="shared" si="3"/>
        <v>0.29629629629629628</v>
      </c>
    </row>
    <row r="25" spans="2:18" x14ac:dyDescent="0.3">
      <c r="B25" s="6" t="s">
        <v>20</v>
      </c>
      <c r="C25" s="10">
        <v>0.01</v>
      </c>
      <c r="D25" s="11">
        <v>0.05</v>
      </c>
      <c r="E25" s="11">
        <v>0.06</v>
      </c>
      <c r="F25" s="10">
        <v>0.03</v>
      </c>
      <c r="G25" s="11">
        <v>0.05</v>
      </c>
      <c r="H25" s="12">
        <v>0.08</v>
      </c>
      <c r="I25" s="11">
        <v>0</v>
      </c>
      <c r="J25" s="11">
        <v>0.04</v>
      </c>
      <c r="K25" s="11">
        <v>0.04</v>
      </c>
      <c r="L25" s="10">
        <v>0.48</v>
      </c>
      <c r="M25" s="11">
        <v>0.01</v>
      </c>
      <c r="N25" s="12">
        <v>0.49</v>
      </c>
      <c r="O25" s="13">
        <f t="shared" si="0"/>
        <v>0.67</v>
      </c>
      <c r="P25" s="13">
        <f t="shared" si="1"/>
        <v>0.52</v>
      </c>
      <c r="Q25" s="13">
        <f t="shared" si="2"/>
        <v>0.48</v>
      </c>
      <c r="R25" s="14">
        <f t="shared" si="3"/>
        <v>0.92307692307692302</v>
      </c>
    </row>
    <row r="26" spans="2:18" x14ac:dyDescent="0.3">
      <c r="B26" s="6" t="s">
        <v>21</v>
      </c>
      <c r="C26" s="10">
        <v>0.04</v>
      </c>
      <c r="D26" s="11">
        <v>0.15</v>
      </c>
      <c r="E26" s="11">
        <v>0.19</v>
      </c>
      <c r="F26" s="10">
        <v>0.01</v>
      </c>
      <c r="G26" s="11">
        <v>0</v>
      </c>
      <c r="H26" s="12">
        <v>0.01</v>
      </c>
      <c r="I26" s="11">
        <v>0</v>
      </c>
      <c r="J26" s="11">
        <v>0.19</v>
      </c>
      <c r="K26" s="11">
        <v>0.19</v>
      </c>
      <c r="L26" s="10">
        <v>0.14000000000000001</v>
      </c>
      <c r="M26" s="11">
        <v>0.17</v>
      </c>
      <c r="N26" s="12">
        <v>0.31</v>
      </c>
      <c r="O26" s="13">
        <f t="shared" si="0"/>
        <v>0.7</v>
      </c>
      <c r="P26" s="13">
        <f t="shared" si="1"/>
        <v>0.19</v>
      </c>
      <c r="Q26" s="13">
        <f t="shared" si="2"/>
        <v>0.14000000000000001</v>
      </c>
      <c r="R26" s="14">
        <f t="shared" si="3"/>
        <v>0.73684210526315796</v>
      </c>
    </row>
    <row r="27" spans="2:18" x14ac:dyDescent="0.3">
      <c r="B27" s="6" t="s">
        <v>22</v>
      </c>
      <c r="C27" s="10">
        <v>0.03</v>
      </c>
      <c r="D27" s="11">
        <v>0.1</v>
      </c>
      <c r="E27" s="11">
        <v>0.13</v>
      </c>
      <c r="F27" s="10">
        <v>0.03</v>
      </c>
      <c r="G27" s="11">
        <v>0.08</v>
      </c>
      <c r="H27" s="12">
        <v>0.11</v>
      </c>
      <c r="I27" s="11">
        <v>0</v>
      </c>
      <c r="J27" s="11">
        <v>0.11</v>
      </c>
      <c r="K27" s="11">
        <v>0.11</v>
      </c>
      <c r="L27" s="10">
        <v>0.25</v>
      </c>
      <c r="M27" s="11">
        <v>0.04</v>
      </c>
      <c r="N27" s="12">
        <v>0.28999999999999998</v>
      </c>
      <c r="O27" s="13">
        <f t="shared" si="0"/>
        <v>0.6399999999999999</v>
      </c>
      <c r="P27" s="13">
        <f t="shared" si="1"/>
        <v>0.31</v>
      </c>
      <c r="Q27" s="13">
        <f t="shared" si="2"/>
        <v>0.25</v>
      </c>
      <c r="R27" s="14">
        <f t="shared" si="3"/>
        <v>0.80645161290322587</v>
      </c>
    </row>
    <row r="28" spans="2:18" x14ac:dyDescent="0.3">
      <c r="B28" s="6" t="s">
        <v>23</v>
      </c>
      <c r="C28" s="10">
        <v>0.02</v>
      </c>
      <c r="D28" s="11">
        <v>0.2</v>
      </c>
      <c r="E28" s="11">
        <v>0.22</v>
      </c>
      <c r="F28" s="10">
        <v>0.02</v>
      </c>
      <c r="G28" s="11">
        <v>0.02</v>
      </c>
      <c r="H28" s="12">
        <v>0.03</v>
      </c>
      <c r="I28" s="11">
        <v>0</v>
      </c>
      <c r="J28" s="11">
        <v>0.06</v>
      </c>
      <c r="K28" s="11">
        <v>0.06</v>
      </c>
      <c r="L28" s="10">
        <v>0.15</v>
      </c>
      <c r="M28" s="11">
        <v>0.15</v>
      </c>
      <c r="N28" s="12">
        <v>0.3</v>
      </c>
      <c r="O28" s="13">
        <f t="shared" si="0"/>
        <v>0.61</v>
      </c>
      <c r="P28" s="13">
        <f t="shared" si="1"/>
        <v>0.19</v>
      </c>
      <c r="Q28" s="13">
        <f t="shared" si="2"/>
        <v>0.15</v>
      </c>
      <c r="R28" s="14">
        <f t="shared" si="3"/>
        <v>0.78947368421052633</v>
      </c>
    </row>
    <row r="29" spans="2:18" x14ac:dyDescent="0.3">
      <c r="B29" s="6" t="s">
        <v>24</v>
      </c>
      <c r="C29" s="10">
        <v>0.01</v>
      </c>
      <c r="D29" s="11">
        <v>0.22</v>
      </c>
      <c r="E29" s="11">
        <v>0.23</v>
      </c>
      <c r="F29" s="10">
        <v>0.02</v>
      </c>
      <c r="G29" s="11">
        <v>0.08</v>
      </c>
      <c r="H29" s="12">
        <v>0.1</v>
      </c>
      <c r="I29" s="11">
        <v>0</v>
      </c>
      <c r="J29" s="11">
        <v>0.1</v>
      </c>
      <c r="K29" s="11">
        <v>0.1</v>
      </c>
      <c r="L29" s="10">
        <v>0.15</v>
      </c>
      <c r="M29" s="11">
        <v>0.03</v>
      </c>
      <c r="N29" s="12">
        <v>0.18</v>
      </c>
      <c r="O29" s="13">
        <f t="shared" si="0"/>
        <v>0.6100000000000001</v>
      </c>
      <c r="P29" s="13">
        <f t="shared" si="1"/>
        <v>0.18</v>
      </c>
      <c r="Q29" s="13">
        <f t="shared" si="2"/>
        <v>0.15</v>
      </c>
      <c r="R29" s="14">
        <f t="shared" si="3"/>
        <v>0.83333333333333337</v>
      </c>
    </row>
    <row r="30" spans="2:18" x14ac:dyDescent="0.3">
      <c r="B30" s="6" t="s">
        <v>25</v>
      </c>
      <c r="C30" s="10">
        <v>0.24</v>
      </c>
      <c r="D30" s="11">
        <v>0.03</v>
      </c>
      <c r="E30" s="11">
        <v>0.27</v>
      </c>
      <c r="F30" s="10">
        <v>0.04</v>
      </c>
      <c r="G30" s="11">
        <v>0.39</v>
      </c>
      <c r="H30" s="12">
        <v>0.43</v>
      </c>
      <c r="I30" s="11">
        <v>0.01</v>
      </c>
      <c r="J30" s="11">
        <v>0.09</v>
      </c>
      <c r="K30" s="11">
        <v>0.1</v>
      </c>
      <c r="L30" s="10">
        <v>0.02</v>
      </c>
      <c r="M30" s="11">
        <v>0</v>
      </c>
      <c r="N30" s="12">
        <v>0.02</v>
      </c>
      <c r="O30" s="13">
        <f t="shared" si="0"/>
        <v>0.82</v>
      </c>
      <c r="P30" s="13">
        <f t="shared" si="1"/>
        <v>0.31</v>
      </c>
      <c r="Q30" s="13">
        <f t="shared" si="2"/>
        <v>0.02</v>
      </c>
      <c r="R30" s="14">
        <f t="shared" si="3"/>
        <v>6.4516129032258063E-2</v>
      </c>
    </row>
    <row r="31" spans="2:18" x14ac:dyDescent="0.3">
      <c r="B31" s="6" t="s">
        <v>26</v>
      </c>
      <c r="C31" s="10">
        <v>0.14000000000000001</v>
      </c>
      <c r="D31" s="11">
        <v>0.05</v>
      </c>
      <c r="E31" s="11">
        <v>0.19</v>
      </c>
      <c r="F31" s="10">
        <v>0.02</v>
      </c>
      <c r="G31" s="11">
        <v>0</v>
      </c>
      <c r="H31" s="12">
        <v>0.02</v>
      </c>
      <c r="I31" s="11">
        <v>0</v>
      </c>
      <c r="J31" s="11">
        <v>0.34</v>
      </c>
      <c r="K31" s="11">
        <v>0.34</v>
      </c>
      <c r="L31" s="10">
        <v>0.13</v>
      </c>
      <c r="M31" s="11">
        <v>7.0000000000000007E-2</v>
      </c>
      <c r="N31" s="12">
        <v>0.2</v>
      </c>
      <c r="O31" s="13">
        <f t="shared" si="0"/>
        <v>0.75</v>
      </c>
      <c r="P31" s="13">
        <f t="shared" si="1"/>
        <v>0.29000000000000004</v>
      </c>
      <c r="Q31" s="13">
        <f t="shared" si="2"/>
        <v>0.13</v>
      </c>
      <c r="R31" s="14">
        <f t="shared" si="3"/>
        <v>0.44827586206896547</v>
      </c>
    </row>
    <row r="32" spans="2:18" x14ac:dyDescent="0.3">
      <c r="B32" s="6" t="s">
        <v>27</v>
      </c>
      <c r="C32" s="10">
        <v>0.14000000000000001</v>
      </c>
      <c r="D32" s="11">
        <v>0.06</v>
      </c>
      <c r="E32" s="11">
        <v>0.2</v>
      </c>
      <c r="F32" s="10">
        <v>0.03</v>
      </c>
      <c r="G32" s="11">
        <v>0</v>
      </c>
      <c r="H32" s="12">
        <v>0.03</v>
      </c>
      <c r="I32" s="11">
        <v>0.01</v>
      </c>
      <c r="J32" s="11">
        <v>0.03</v>
      </c>
      <c r="K32" s="11">
        <v>0.04</v>
      </c>
      <c r="L32" s="10">
        <v>0.37</v>
      </c>
      <c r="M32" s="11">
        <v>0.03</v>
      </c>
      <c r="N32" s="12">
        <v>0.4</v>
      </c>
      <c r="O32" s="13">
        <f t="shared" si="0"/>
        <v>0.67</v>
      </c>
      <c r="P32" s="13">
        <f t="shared" si="1"/>
        <v>0.55000000000000004</v>
      </c>
      <c r="Q32" s="13">
        <f t="shared" si="2"/>
        <v>0.37</v>
      </c>
      <c r="R32" s="14">
        <f t="shared" si="3"/>
        <v>0.67272727272727262</v>
      </c>
    </row>
    <row r="33" spans="2:18" x14ac:dyDescent="0.3">
      <c r="B33" s="6" t="s">
        <v>39</v>
      </c>
      <c r="C33" s="10">
        <v>0.01</v>
      </c>
      <c r="D33" s="11">
        <v>0.04</v>
      </c>
      <c r="E33" s="11">
        <v>0.06</v>
      </c>
      <c r="F33" s="10">
        <v>0.02</v>
      </c>
      <c r="G33" s="11">
        <v>0.17</v>
      </c>
      <c r="H33" s="12">
        <v>0.19</v>
      </c>
      <c r="I33" s="11">
        <v>0</v>
      </c>
      <c r="J33" s="11">
        <v>0.05</v>
      </c>
      <c r="K33" s="11">
        <v>0.05</v>
      </c>
      <c r="L33" s="10">
        <v>0.16</v>
      </c>
      <c r="M33" s="11">
        <v>0.05</v>
      </c>
      <c r="N33" s="12">
        <v>0.2</v>
      </c>
      <c r="O33" s="13">
        <f t="shared" si="0"/>
        <v>0.5</v>
      </c>
      <c r="P33" s="13">
        <f t="shared" si="1"/>
        <v>0.19</v>
      </c>
      <c r="Q33" s="13">
        <f t="shared" si="2"/>
        <v>0.16</v>
      </c>
      <c r="R33" s="14">
        <f t="shared" si="3"/>
        <v>0.84210526315789469</v>
      </c>
    </row>
    <row r="34" spans="2:18" x14ac:dyDescent="0.3">
      <c r="B34" s="6" t="s">
        <v>28</v>
      </c>
      <c r="C34" s="10">
        <v>0.04</v>
      </c>
      <c r="D34" s="11">
        <v>0.06</v>
      </c>
      <c r="E34" s="11">
        <v>0.1</v>
      </c>
      <c r="F34" s="10">
        <v>0.01</v>
      </c>
      <c r="G34" s="11">
        <v>0.28000000000000003</v>
      </c>
      <c r="H34" s="12">
        <v>0.28999999999999998</v>
      </c>
      <c r="I34" s="11">
        <v>0.02</v>
      </c>
      <c r="J34" s="11">
        <v>7.0000000000000007E-2</v>
      </c>
      <c r="K34" s="11">
        <v>0.09</v>
      </c>
      <c r="L34" s="10">
        <v>0.18</v>
      </c>
      <c r="M34" s="11">
        <v>0.12</v>
      </c>
      <c r="N34" s="12">
        <v>0.3</v>
      </c>
      <c r="O34" s="13">
        <f t="shared" si="0"/>
        <v>0.78</v>
      </c>
      <c r="P34" s="13">
        <f t="shared" si="1"/>
        <v>0.25</v>
      </c>
      <c r="Q34" s="13">
        <f t="shared" si="2"/>
        <v>0.18</v>
      </c>
      <c r="R34" s="14">
        <f t="shared" si="3"/>
        <v>0.72</v>
      </c>
    </row>
    <row r="35" spans="2:18" x14ac:dyDescent="0.3">
      <c r="B35" s="6" t="s">
        <v>29</v>
      </c>
      <c r="C35" s="10">
        <v>0.14000000000000001</v>
      </c>
      <c r="D35" s="11">
        <v>0.03</v>
      </c>
      <c r="E35" s="11">
        <v>0.17</v>
      </c>
      <c r="F35" s="10">
        <v>0.01</v>
      </c>
      <c r="G35" s="11">
        <v>0.13</v>
      </c>
      <c r="H35" s="12">
        <v>0.14000000000000001</v>
      </c>
      <c r="I35" s="11">
        <v>0.02</v>
      </c>
      <c r="J35" s="11">
        <v>0.12</v>
      </c>
      <c r="K35" s="11">
        <v>0.14000000000000001</v>
      </c>
      <c r="L35" s="10">
        <v>0.19</v>
      </c>
      <c r="M35" s="11">
        <v>0.16</v>
      </c>
      <c r="N35" s="12">
        <v>0.35</v>
      </c>
      <c r="O35" s="13">
        <f t="shared" si="0"/>
        <v>0.8</v>
      </c>
      <c r="P35" s="13">
        <f t="shared" si="1"/>
        <v>0.36</v>
      </c>
      <c r="Q35" s="13">
        <f t="shared" si="2"/>
        <v>0.19</v>
      </c>
      <c r="R35" s="14">
        <f t="shared" si="3"/>
        <v>0.52777777777777779</v>
      </c>
    </row>
    <row r="36" spans="2:18" x14ac:dyDescent="0.3">
      <c r="B36" s="6" t="s">
        <v>30</v>
      </c>
      <c r="C36" s="10">
        <v>0.06</v>
      </c>
      <c r="D36" s="11">
        <v>0.3</v>
      </c>
      <c r="E36" s="11">
        <v>0.37</v>
      </c>
      <c r="F36" s="10">
        <v>0.12</v>
      </c>
      <c r="G36" s="11">
        <v>0.01</v>
      </c>
      <c r="H36" s="12">
        <v>0.13</v>
      </c>
      <c r="I36" s="11">
        <v>0</v>
      </c>
      <c r="J36" s="11">
        <v>0.09</v>
      </c>
      <c r="K36" s="11">
        <v>0.1</v>
      </c>
      <c r="L36" s="10">
        <v>0.21</v>
      </c>
      <c r="M36" s="11">
        <v>0.02</v>
      </c>
      <c r="N36" s="12">
        <v>0.22</v>
      </c>
      <c r="O36" s="13">
        <f t="shared" si="0"/>
        <v>0.82</v>
      </c>
      <c r="P36" s="13">
        <f t="shared" si="1"/>
        <v>0.39</v>
      </c>
      <c r="Q36" s="13">
        <f t="shared" si="2"/>
        <v>0.21</v>
      </c>
      <c r="R36" s="14">
        <f t="shared" si="3"/>
        <v>0.53846153846153844</v>
      </c>
    </row>
    <row r="37" spans="2:18" x14ac:dyDescent="0.3">
      <c r="B37" s="6" t="s">
        <v>31</v>
      </c>
      <c r="C37" s="10">
        <v>0.25</v>
      </c>
      <c r="D37" s="11">
        <v>0.05</v>
      </c>
      <c r="E37" s="11">
        <v>0.3</v>
      </c>
      <c r="F37" s="10">
        <v>0.02</v>
      </c>
      <c r="G37" s="11">
        <v>0.27</v>
      </c>
      <c r="H37" s="12">
        <v>0.28000000000000003</v>
      </c>
      <c r="I37" s="11">
        <v>0</v>
      </c>
      <c r="J37" s="11">
        <v>0.02</v>
      </c>
      <c r="K37" s="11">
        <v>0.02</v>
      </c>
      <c r="L37" s="10">
        <v>7.0000000000000007E-2</v>
      </c>
      <c r="M37" s="11">
        <v>0.09</v>
      </c>
      <c r="N37" s="12">
        <v>0.16</v>
      </c>
      <c r="O37" s="13">
        <f t="shared" si="0"/>
        <v>0.76000000000000012</v>
      </c>
      <c r="P37" s="13">
        <f t="shared" si="1"/>
        <v>0.34</v>
      </c>
      <c r="Q37" s="13">
        <f t="shared" si="2"/>
        <v>7.0000000000000007E-2</v>
      </c>
      <c r="R37" s="14">
        <f t="shared" si="3"/>
        <v>0.20588235294117649</v>
      </c>
    </row>
    <row r="38" spans="2:18" x14ac:dyDescent="0.3">
      <c r="B38" s="6" t="s">
        <v>32</v>
      </c>
      <c r="C38" s="10">
        <v>0.09</v>
      </c>
      <c r="D38" s="11">
        <v>0.09</v>
      </c>
      <c r="E38" s="11">
        <v>0.18</v>
      </c>
      <c r="F38" s="10">
        <v>0.03</v>
      </c>
      <c r="G38" s="11">
        <v>0.28000000000000003</v>
      </c>
      <c r="H38" s="12">
        <v>0.31</v>
      </c>
      <c r="I38" s="11">
        <v>0</v>
      </c>
      <c r="J38" s="11">
        <v>0.17</v>
      </c>
      <c r="K38" s="11">
        <v>0.17</v>
      </c>
      <c r="L38" s="10">
        <v>0.1</v>
      </c>
      <c r="M38" s="11">
        <v>0.01</v>
      </c>
      <c r="N38" s="12">
        <v>0.11</v>
      </c>
      <c r="O38" s="13">
        <f t="shared" si="0"/>
        <v>0.77</v>
      </c>
      <c r="P38" s="13">
        <f t="shared" si="1"/>
        <v>0.22</v>
      </c>
      <c r="Q38" s="13">
        <f t="shared" si="2"/>
        <v>0.1</v>
      </c>
      <c r="R38" s="14">
        <f t="shared" si="3"/>
        <v>0.45454545454545459</v>
      </c>
    </row>
    <row r="39" spans="2:18" x14ac:dyDescent="0.3">
      <c r="B39" s="6" t="s">
        <v>40</v>
      </c>
      <c r="C39" s="10">
        <v>0.01</v>
      </c>
      <c r="D39" s="11">
        <v>0.01</v>
      </c>
      <c r="E39" s="11">
        <v>0.02</v>
      </c>
      <c r="F39" s="10">
        <v>0</v>
      </c>
      <c r="G39" s="11">
        <v>0.87</v>
      </c>
      <c r="H39" s="12">
        <v>0.87</v>
      </c>
      <c r="I39" s="11">
        <v>0</v>
      </c>
      <c r="J39" s="11">
        <v>0.02</v>
      </c>
      <c r="K39" s="11">
        <v>0.02</v>
      </c>
      <c r="L39" s="10">
        <v>0.01</v>
      </c>
      <c r="M39" s="11">
        <v>0</v>
      </c>
      <c r="N39" s="12">
        <v>0.01</v>
      </c>
      <c r="O39" s="13">
        <f t="shared" si="0"/>
        <v>0.92</v>
      </c>
      <c r="P39" s="13">
        <f t="shared" si="1"/>
        <v>0.02</v>
      </c>
      <c r="Q39" s="13">
        <f t="shared" si="2"/>
        <v>0.01</v>
      </c>
      <c r="R39" s="14">
        <f t="shared" si="3"/>
        <v>0.5</v>
      </c>
    </row>
    <row r="40" spans="2:18" x14ac:dyDescent="0.3">
      <c r="B40" s="6" t="s">
        <v>33</v>
      </c>
      <c r="C40" s="10">
        <v>0.05</v>
      </c>
      <c r="D40" s="11">
        <v>0.08</v>
      </c>
      <c r="E40" s="11">
        <v>0.14000000000000001</v>
      </c>
      <c r="F40" s="10">
        <v>0.03</v>
      </c>
      <c r="G40" s="11">
        <v>0.31</v>
      </c>
      <c r="H40" s="12">
        <v>0.34</v>
      </c>
      <c r="I40" s="11">
        <v>0</v>
      </c>
      <c r="J40" s="11">
        <v>0</v>
      </c>
      <c r="K40" s="11">
        <v>0</v>
      </c>
      <c r="L40" s="10">
        <v>7.0000000000000007E-2</v>
      </c>
      <c r="M40" s="11">
        <v>0.01</v>
      </c>
      <c r="N40" s="12">
        <v>0.08</v>
      </c>
      <c r="O40" s="13">
        <f t="shared" si="0"/>
        <v>0.56000000000000005</v>
      </c>
      <c r="P40" s="13">
        <f t="shared" si="1"/>
        <v>0.15000000000000002</v>
      </c>
      <c r="Q40" s="13">
        <f t="shared" si="2"/>
        <v>7.0000000000000007E-2</v>
      </c>
      <c r="R40" s="14">
        <f t="shared" si="3"/>
        <v>0.46666666666666662</v>
      </c>
    </row>
    <row r="41" spans="2:18" x14ac:dyDescent="0.3">
      <c r="B41" s="6" t="s">
        <v>41</v>
      </c>
      <c r="C41" s="10">
        <v>0.12</v>
      </c>
      <c r="D41" s="11">
        <v>0.08</v>
      </c>
      <c r="E41" s="11">
        <v>0.2</v>
      </c>
      <c r="F41" s="10">
        <v>0.03</v>
      </c>
      <c r="G41" s="11">
        <v>0.13</v>
      </c>
      <c r="H41" s="12">
        <v>0.15</v>
      </c>
      <c r="I41" s="11">
        <v>0</v>
      </c>
      <c r="J41" s="11">
        <v>0.03</v>
      </c>
      <c r="K41" s="11">
        <v>0.03</v>
      </c>
      <c r="L41" s="10">
        <v>0.19</v>
      </c>
      <c r="M41" s="11">
        <v>0.11</v>
      </c>
      <c r="N41" s="12">
        <v>0.31</v>
      </c>
      <c r="O41" s="13">
        <f t="shared" si="0"/>
        <v>0.69</v>
      </c>
      <c r="P41" s="13">
        <f t="shared" si="1"/>
        <v>0.33999999999999997</v>
      </c>
      <c r="Q41" s="13">
        <f t="shared" si="2"/>
        <v>0.19</v>
      </c>
      <c r="R41" s="14">
        <f t="shared" si="3"/>
        <v>0.55882352941176472</v>
      </c>
    </row>
    <row r="42" spans="2:18" x14ac:dyDescent="0.3">
      <c r="B42" s="6" t="s">
        <v>34</v>
      </c>
      <c r="C42" s="10">
        <v>7.0000000000000007E-2</v>
      </c>
      <c r="D42" s="11">
        <v>0.06</v>
      </c>
      <c r="E42" s="11">
        <v>0.13</v>
      </c>
      <c r="F42" s="10">
        <v>0.04</v>
      </c>
      <c r="G42" s="11">
        <v>0.03</v>
      </c>
      <c r="H42" s="12">
        <v>7.0000000000000007E-2</v>
      </c>
      <c r="I42" s="11">
        <v>0.01</v>
      </c>
      <c r="J42" s="11">
        <v>0.15</v>
      </c>
      <c r="K42" s="11">
        <v>0.16</v>
      </c>
      <c r="L42" s="10">
        <v>0.24</v>
      </c>
      <c r="M42" s="11">
        <v>0.02</v>
      </c>
      <c r="N42" s="12">
        <v>0.25</v>
      </c>
      <c r="O42" s="13">
        <f t="shared" si="0"/>
        <v>0.61</v>
      </c>
      <c r="P42" s="13">
        <f t="shared" si="1"/>
        <v>0.36</v>
      </c>
      <c r="Q42" s="13">
        <f t="shared" si="2"/>
        <v>0.24</v>
      </c>
      <c r="R42" s="14">
        <f t="shared" si="3"/>
        <v>0.66666666666666663</v>
      </c>
    </row>
    <row r="43" spans="2:18" x14ac:dyDescent="0.3">
      <c r="B43" s="6" t="s">
        <v>35</v>
      </c>
      <c r="C43" s="10">
        <v>0.02</v>
      </c>
      <c r="D43" s="11">
        <v>0.11</v>
      </c>
      <c r="E43" s="11">
        <v>0.12</v>
      </c>
      <c r="F43" s="10">
        <v>0.02</v>
      </c>
      <c r="G43" s="11">
        <v>0.04</v>
      </c>
      <c r="H43" s="12">
        <v>0.06</v>
      </c>
      <c r="I43" s="11">
        <v>0.01</v>
      </c>
      <c r="J43" s="11">
        <v>0.12</v>
      </c>
      <c r="K43" s="11">
        <v>0.12</v>
      </c>
      <c r="L43" s="10">
        <v>0.19</v>
      </c>
      <c r="M43" s="11">
        <v>0.19</v>
      </c>
      <c r="N43" s="12">
        <v>0.38</v>
      </c>
      <c r="O43" s="13">
        <f t="shared" si="0"/>
        <v>0.67999999999999994</v>
      </c>
      <c r="P43" s="13">
        <f t="shared" si="1"/>
        <v>0.24</v>
      </c>
      <c r="Q43" s="13">
        <f t="shared" si="2"/>
        <v>0.19</v>
      </c>
      <c r="R43" s="14">
        <f t="shared" si="3"/>
        <v>0.79166666666666674</v>
      </c>
    </row>
    <row r="44" spans="2:18" x14ac:dyDescent="0.3">
      <c r="B44" s="6" t="s">
        <v>36</v>
      </c>
      <c r="C44" s="10">
        <v>0.01</v>
      </c>
      <c r="D44" s="11">
        <v>0.05</v>
      </c>
      <c r="E44" s="11">
        <v>0.06</v>
      </c>
      <c r="F44" s="10">
        <v>0.03</v>
      </c>
      <c r="G44" s="11">
        <v>0.03</v>
      </c>
      <c r="H44" s="12">
        <v>0.06</v>
      </c>
      <c r="I44" s="11">
        <v>0.01</v>
      </c>
      <c r="J44" s="11">
        <v>0.05</v>
      </c>
      <c r="K44" s="11">
        <v>0.06</v>
      </c>
      <c r="L44" s="10">
        <v>0.26</v>
      </c>
      <c r="M44" s="11">
        <v>0.06</v>
      </c>
      <c r="N44" s="12">
        <v>0.33</v>
      </c>
      <c r="O44" s="13">
        <f t="shared" si="0"/>
        <v>0.51</v>
      </c>
      <c r="P44" s="13">
        <f t="shared" si="1"/>
        <v>0.31</v>
      </c>
      <c r="Q44" s="13">
        <f t="shared" si="2"/>
        <v>0.26</v>
      </c>
      <c r="R44" s="14">
        <f t="shared" si="3"/>
        <v>0.83870967741935487</v>
      </c>
    </row>
    <row r="45" spans="2:18" x14ac:dyDescent="0.3">
      <c r="B45" s="6" t="s">
        <v>37</v>
      </c>
      <c r="C45" s="10">
        <v>0.13</v>
      </c>
      <c r="D45" s="11">
        <v>0.25</v>
      </c>
      <c r="E45" s="11">
        <v>0.38</v>
      </c>
      <c r="F45" s="10">
        <v>0.16</v>
      </c>
      <c r="G45" s="11">
        <v>0.09</v>
      </c>
      <c r="H45" s="12">
        <v>0.25</v>
      </c>
      <c r="I45" s="11">
        <v>0</v>
      </c>
      <c r="J45" s="11">
        <v>0.09</v>
      </c>
      <c r="K45" s="11">
        <v>0.09</v>
      </c>
      <c r="L45" s="10">
        <v>0.05</v>
      </c>
      <c r="M45" s="11">
        <v>0.04</v>
      </c>
      <c r="N45" s="12">
        <v>0.09</v>
      </c>
      <c r="O45" s="13">
        <f t="shared" si="0"/>
        <v>0.80999999999999994</v>
      </c>
      <c r="P45" s="13">
        <f t="shared" si="1"/>
        <v>0.34</v>
      </c>
      <c r="Q45" s="13">
        <f t="shared" si="2"/>
        <v>0.05</v>
      </c>
      <c r="R45" s="14">
        <f t="shared" si="3"/>
        <v>0.14705882352941177</v>
      </c>
    </row>
    <row r="46" spans="2:18" x14ac:dyDescent="0.3">
      <c r="B46" s="6" t="s">
        <v>42</v>
      </c>
      <c r="C46" s="10">
        <v>0.04</v>
      </c>
      <c r="D46" s="11">
        <v>0.02</v>
      </c>
      <c r="E46" s="11">
        <v>0.06</v>
      </c>
      <c r="F46" s="10">
        <v>0.05</v>
      </c>
      <c r="G46" s="11">
        <v>0.01</v>
      </c>
      <c r="H46" s="12">
        <v>0.06</v>
      </c>
      <c r="I46" s="11">
        <v>0.01</v>
      </c>
      <c r="J46" s="11">
        <v>0.02</v>
      </c>
      <c r="K46" s="11">
        <v>0.04</v>
      </c>
      <c r="L46" s="10">
        <v>0.32</v>
      </c>
      <c r="M46" s="11">
        <v>0.28999999999999998</v>
      </c>
      <c r="N46" s="12">
        <v>0.6</v>
      </c>
      <c r="O46" s="13">
        <f t="shared" si="0"/>
        <v>0.76</v>
      </c>
      <c r="P46" s="13">
        <f t="shared" si="1"/>
        <v>0.42</v>
      </c>
      <c r="Q46" s="13">
        <f t="shared" si="2"/>
        <v>0.32</v>
      </c>
      <c r="R46" s="14">
        <f t="shared" si="3"/>
        <v>0.76190476190476197</v>
      </c>
    </row>
    <row r="47" spans="2:18" ht="15" thickBot="1" x14ac:dyDescent="0.35">
      <c r="B47" s="6" t="s">
        <v>43</v>
      </c>
      <c r="C47" s="10">
        <v>0.02</v>
      </c>
      <c r="D47" s="11">
        <v>0.01</v>
      </c>
      <c r="E47" s="11">
        <v>0.03</v>
      </c>
      <c r="F47" s="10">
        <v>0.02</v>
      </c>
      <c r="G47" s="11">
        <v>0.01</v>
      </c>
      <c r="H47" s="12">
        <v>0.03</v>
      </c>
      <c r="I47" s="11">
        <v>0.01</v>
      </c>
      <c r="J47" s="11">
        <v>0.04</v>
      </c>
      <c r="K47" s="11">
        <v>0.06</v>
      </c>
      <c r="L47" s="10">
        <v>0.11</v>
      </c>
      <c r="M47" s="11">
        <v>0.56999999999999995</v>
      </c>
      <c r="N47" s="12">
        <v>0.68</v>
      </c>
      <c r="O47" s="13">
        <f t="shared" si="0"/>
        <v>0.8</v>
      </c>
      <c r="P47" s="13">
        <f t="shared" si="1"/>
        <v>0.16</v>
      </c>
      <c r="Q47" s="13">
        <f t="shared" si="2"/>
        <v>0.11</v>
      </c>
      <c r="R47" s="14">
        <f t="shared" si="3"/>
        <v>0.6875</v>
      </c>
    </row>
    <row r="48" spans="2:18" ht="15" thickBot="1" x14ac:dyDescent="0.35">
      <c r="B48" s="15" t="s">
        <v>46</v>
      </c>
      <c r="C48" s="18">
        <f>AVERAGE(C3:C47)</f>
        <v>9.7999999999999962E-2</v>
      </c>
      <c r="D48" s="16">
        <f t="shared" ref="D48:O48" si="4">AVERAGE(D3:D47)</f>
        <v>0.11377777777777776</v>
      </c>
      <c r="E48" s="17">
        <f t="shared" si="4"/>
        <v>0.21355555555555558</v>
      </c>
      <c r="F48" s="16">
        <f t="shared" si="4"/>
        <v>2.7333333333333341E-2</v>
      </c>
      <c r="G48" s="16">
        <f t="shared" si="4"/>
        <v>0.11999999999999998</v>
      </c>
      <c r="H48" s="16">
        <f t="shared" si="4"/>
        <v>0.14688888888888885</v>
      </c>
      <c r="I48" s="18">
        <f t="shared" si="4"/>
        <v>6.2222222222222227E-3</v>
      </c>
      <c r="J48" s="16">
        <f t="shared" si="4"/>
        <v>8.7111111111111111E-2</v>
      </c>
      <c r="K48" s="17">
        <f t="shared" si="4"/>
        <v>9.4444444444444428E-2</v>
      </c>
      <c r="L48" s="18">
        <f t="shared" si="4"/>
        <v>0.16111111111111118</v>
      </c>
      <c r="M48" s="16">
        <f t="shared" si="4"/>
        <v>9.3333333333333324E-2</v>
      </c>
      <c r="N48" s="17">
        <f t="shared" si="4"/>
        <v>0.25355555555555553</v>
      </c>
      <c r="O48" s="17">
        <f t="shared" si="4"/>
        <v>0.70844444444444454</v>
      </c>
    </row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BE3B-AC85-4978-8562-63A72469A6D7}">
  <dimension ref="B1:I48"/>
  <sheetViews>
    <sheetView tabSelected="1" workbookViewId="0">
      <selection activeCell="K4" sqref="K4"/>
    </sheetView>
  </sheetViews>
  <sheetFormatPr baseColWidth="10" defaultColWidth="8.88671875" defaultRowHeight="14.4" x14ac:dyDescent="0.3"/>
  <cols>
    <col min="1" max="1" width="8.88671875" style="5"/>
    <col min="2" max="2" width="17.44140625" style="5" customWidth="1"/>
    <col min="3" max="3" width="11.6640625" style="21" customWidth="1"/>
    <col min="4" max="4" width="7.33203125" style="21" customWidth="1"/>
    <col min="5" max="5" width="9.6640625" style="21" customWidth="1"/>
    <col min="6" max="6" width="11.21875" style="21" customWidth="1"/>
    <col min="7" max="7" width="8.88671875" style="21"/>
    <col min="8" max="8" width="9.44140625" style="21" customWidth="1"/>
    <col min="9" max="9" width="8.5546875" style="22" customWidth="1"/>
    <col min="10" max="16384" width="8.88671875" style="5"/>
  </cols>
  <sheetData>
    <row r="1" spans="2:9" ht="43.2" x14ac:dyDescent="0.3">
      <c r="B1" s="19"/>
      <c r="C1" s="35" t="s">
        <v>48</v>
      </c>
      <c r="D1" s="36" t="s">
        <v>50</v>
      </c>
      <c r="E1" s="36" t="s">
        <v>54</v>
      </c>
      <c r="F1" s="37" t="s">
        <v>51</v>
      </c>
      <c r="G1" s="36" t="s">
        <v>55</v>
      </c>
      <c r="H1" s="38" t="s">
        <v>44</v>
      </c>
      <c r="I1" s="36" t="s">
        <v>44</v>
      </c>
    </row>
    <row r="2" spans="2:9" ht="15" thickBot="1" x14ac:dyDescent="0.35">
      <c r="B2" s="20"/>
      <c r="C2" s="23"/>
      <c r="D2" s="23"/>
      <c r="E2" s="23"/>
      <c r="F2" s="24"/>
      <c r="G2" s="23"/>
      <c r="H2" s="25" t="s">
        <v>46</v>
      </c>
      <c r="I2" s="34" t="s">
        <v>52</v>
      </c>
    </row>
    <row r="3" spans="2:9" x14ac:dyDescent="0.3">
      <c r="B3" s="7" t="s">
        <v>47</v>
      </c>
      <c r="C3" s="26">
        <v>0.25</v>
      </c>
      <c r="D3" s="26">
        <v>0.17</v>
      </c>
      <c r="E3" s="26">
        <v>0.17</v>
      </c>
      <c r="F3" s="27">
        <v>0.1</v>
      </c>
      <c r="G3" s="26">
        <v>0.30999999999999994</v>
      </c>
      <c r="H3" s="28">
        <v>0.1</v>
      </c>
      <c r="I3" s="33">
        <v>0.41666666666666663</v>
      </c>
    </row>
    <row r="4" spans="2:9" x14ac:dyDescent="0.3">
      <c r="B4" s="7" t="s">
        <v>0</v>
      </c>
      <c r="C4" s="26">
        <v>0.05</v>
      </c>
      <c r="D4" s="26">
        <v>0.02</v>
      </c>
      <c r="E4" s="26">
        <v>0.06</v>
      </c>
      <c r="F4" s="27">
        <v>0.27</v>
      </c>
      <c r="G4" s="26">
        <v>0.6</v>
      </c>
      <c r="H4" s="28">
        <v>0.16</v>
      </c>
      <c r="I4" s="33">
        <v>0.79999999999999993</v>
      </c>
    </row>
    <row r="5" spans="2:9" x14ac:dyDescent="0.3">
      <c r="B5" s="7" t="s">
        <v>1</v>
      </c>
      <c r="C5" s="26">
        <v>0.21</v>
      </c>
      <c r="D5" s="26">
        <v>0.23</v>
      </c>
      <c r="E5" s="26">
        <v>0.06</v>
      </c>
      <c r="F5" s="27">
        <v>0.23</v>
      </c>
      <c r="G5" s="26">
        <v>0.27</v>
      </c>
      <c r="H5" s="28">
        <v>0.15</v>
      </c>
      <c r="I5" s="33">
        <v>0.55555555555555547</v>
      </c>
    </row>
    <row r="6" spans="2:9" x14ac:dyDescent="0.3">
      <c r="B6" s="7" t="s">
        <v>2</v>
      </c>
      <c r="C6" s="26">
        <v>0.26</v>
      </c>
      <c r="D6" s="26">
        <v>0.03</v>
      </c>
      <c r="E6" s="26">
        <v>7.0000000000000007E-2</v>
      </c>
      <c r="F6" s="27">
        <v>0.35</v>
      </c>
      <c r="G6" s="26">
        <v>0.29000000000000004</v>
      </c>
      <c r="H6" s="28">
        <v>0.33</v>
      </c>
      <c r="I6" s="33">
        <v>0.70212765957446821</v>
      </c>
    </row>
    <row r="7" spans="2:9" x14ac:dyDescent="0.3">
      <c r="B7" s="7" t="s">
        <v>3</v>
      </c>
      <c r="C7" s="26">
        <v>0.28999999999999998</v>
      </c>
      <c r="D7" s="26">
        <v>0.1</v>
      </c>
      <c r="E7" s="26">
        <v>0.08</v>
      </c>
      <c r="F7" s="27">
        <v>0.27</v>
      </c>
      <c r="G7" s="26">
        <v>0.26</v>
      </c>
      <c r="H7" s="28">
        <v>0.17</v>
      </c>
      <c r="I7" s="33">
        <v>0.56666666666666665</v>
      </c>
    </row>
    <row r="8" spans="2:9" x14ac:dyDescent="0.3">
      <c r="B8" s="7" t="s">
        <v>4</v>
      </c>
      <c r="C8" s="26">
        <v>0.75</v>
      </c>
      <c r="D8" s="26">
        <v>0.02</v>
      </c>
      <c r="E8" s="26">
        <v>0.09</v>
      </c>
      <c r="F8" s="27">
        <v>0.01</v>
      </c>
      <c r="G8" s="26">
        <v>0.13</v>
      </c>
      <c r="H8" s="28">
        <v>0</v>
      </c>
      <c r="I8" s="33">
        <v>0</v>
      </c>
    </row>
    <row r="9" spans="2:9" x14ac:dyDescent="0.3">
      <c r="B9" s="7" t="s">
        <v>5</v>
      </c>
      <c r="C9" s="26">
        <v>0.06</v>
      </c>
      <c r="D9" s="26">
        <v>0.04</v>
      </c>
      <c r="E9" s="26">
        <v>0.04</v>
      </c>
      <c r="F9" s="27">
        <v>0.46</v>
      </c>
      <c r="G9" s="26">
        <v>0.39999999999999991</v>
      </c>
      <c r="H9" s="28">
        <v>0.23</v>
      </c>
      <c r="I9" s="33">
        <v>0.88461538461538458</v>
      </c>
    </row>
    <row r="10" spans="2:9" x14ac:dyDescent="0.3">
      <c r="B10" s="7" t="s">
        <v>6</v>
      </c>
      <c r="C10" s="26">
        <v>0.54</v>
      </c>
      <c r="D10" s="26">
        <v>0.01</v>
      </c>
      <c r="E10" s="26">
        <v>0.13</v>
      </c>
      <c r="F10" s="27">
        <v>0.12</v>
      </c>
      <c r="G10" s="26">
        <v>0.19999999999999996</v>
      </c>
      <c r="H10" s="28">
        <v>0.06</v>
      </c>
      <c r="I10" s="33">
        <v>0.24</v>
      </c>
    </row>
    <row r="11" spans="2:9" x14ac:dyDescent="0.3">
      <c r="B11" s="7" t="s">
        <v>7</v>
      </c>
      <c r="C11" s="26">
        <v>0.12</v>
      </c>
      <c r="D11" s="26">
        <v>0.28999999999999998</v>
      </c>
      <c r="E11" s="26">
        <v>0.18</v>
      </c>
      <c r="F11" s="27">
        <v>0.11</v>
      </c>
      <c r="G11" s="26">
        <v>0.30000000000000004</v>
      </c>
      <c r="H11" s="28">
        <v>0.03</v>
      </c>
      <c r="I11" s="33">
        <v>0.5</v>
      </c>
    </row>
    <row r="12" spans="2:9" x14ac:dyDescent="0.3">
      <c r="B12" s="7" t="s">
        <v>8</v>
      </c>
      <c r="C12" s="26">
        <v>0.32</v>
      </c>
      <c r="D12" s="26">
        <v>0.35</v>
      </c>
      <c r="E12" s="26">
        <v>0.03</v>
      </c>
      <c r="F12" s="27">
        <v>0.16</v>
      </c>
      <c r="G12" s="26">
        <v>0.14000000000000001</v>
      </c>
      <c r="H12" s="28">
        <v>0.06</v>
      </c>
      <c r="I12" s="33">
        <v>0.42857142857142849</v>
      </c>
    </row>
    <row r="13" spans="2:9" x14ac:dyDescent="0.3">
      <c r="B13" s="7" t="s">
        <v>9</v>
      </c>
      <c r="C13" s="26">
        <v>0.56999999999999995</v>
      </c>
      <c r="D13" s="26">
        <v>0.17</v>
      </c>
      <c r="E13" s="26">
        <v>0.05</v>
      </c>
      <c r="F13" s="27">
        <v>0.1</v>
      </c>
      <c r="G13" s="26">
        <v>0.10999999999999999</v>
      </c>
      <c r="H13" s="28">
        <v>0.01</v>
      </c>
      <c r="I13" s="33">
        <v>2.0408163265306124E-2</v>
      </c>
    </row>
    <row r="14" spans="2:9" x14ac:dyDescent="0.3">
      <c r="B14" s="7" t="s">
        <v>10</v>
      </c>
      <c r="C14" s="26">
        <v>0.1</v>
      </c>
      <c r="D14" s="26">
        <v>0.1</v>
      </c>
      <c r="E14" s="26">
        <v>0.02</v>
      </c>
      <c r="F14" s="27">
        <v>0.36</v>
      </c>
      <c r="G14" s="26">
        <v>0.42000000000000004</v>
      </c>
      <c r="H14" s="28">
        <v>0.27</v>
      </c>
      <c r="I14" s="33">
        <v>0.93103448275862066</v>
      </c>
    </row>
    <row r="15" spans="2:9" x14ac:dyDescent="0.3">
      <c r="B15" s="7" t="s">
        <v>11</v>
      </c>
      <c r="C15" s="26">
        <v>0.35</v>
      </c>
      <c r="D15" s="26">
        <v>0.17</v>
      </c>
      <c r="E15" s="26">
        <v>0.14000000000000001</v>
      </c>
      <c r="F15" s="27">
        <v>0.11</v>
      </c>
      <c r="G15" s="26">
        <v>0.22999999999999998</v>
      </c>
      <c r="H15" s="28">
        <v>7.0000000000000007E-2</v>
      </c>
      <c r="I15" s="33">
        <v>0.58333333333333337</v>
      </c>
    </row>
    <row r="16" spans="2:9" x14ac:dyDescent="0.3">
      <c r="B16" s="7" t="s">
        <v>12</v>
      </c>
      <c r="C16" s="26">
        <v>0.05</v>
      </c>
      <c r="D16" s="26">
        <v>0.17</v>
      </c>
      <c r="E16" s="26">
        <v>0.09</v>
      </c>
      <c r="F16" s="27">
        <v>0.31</v>
      </c>
      <c r="G16" s="26">
        <v>0.37999999999999989</v>
      </c>
      <c r="H16" s="28">
        <v>0.21</v>
      </c>
      <c r="I16" s="33">
        <v>0.875</v>
      </c>
    </row>
    <row r="17" spans="2:9" x14ac:dyDescent="0.3">
      <c r="B17" s="7" t="s">
        <v>13</v>
      </c>
      <c r="C17" s="26">
        <v>0.2</v>
      </c>
      <c r="D17" s="26">
        <v>0.06</v>
      </c>
      <c r="E17" s="26">
        <v>0.14000000000000001</v>
      </c>
      <c r="F17" s="27">
        <v>0.27</v>
      </c>
      <c r="G17" s="26">
        <v>0.32999999999999996</v>
      </c>
      <c r="H17" s="28">
        <v>0.21</v>
      </c>
      <c r="I17" s="33">
        <v>0.7</v>
      </c>
    </row>
    <row r="18" spans="2:9" x14ac:dyDescent="0.3">
      <c r="B18" s="7" t="s">
        <v>14</v>
      </c>
      <c r="C18" s="26">
        <v>0.15</v>
      </c>
      <c r="D18" s="26">
        <v>7.0000000000000007E-2</v>
      </c>
      <c r="E18" s="26">
        <v>0.1</v>
      </c>
      <c r="F18" s="27">
        <v>0.3</v>
      </c>
      <c r="G18" s="26">
        <v>0.38</v>
      </c>
      <c r="H18" s="28">
        <v>0.23</v>
      </c>
      <c r="I18" s="33">
        <v>0.71875</v>
      </c>
    </row>
    <row r="19" spans="2:9" x14ac:dyDescent="0.3">
      <c r="B19" s="7" t="s">
        <v>15</v>
      </c>
      <c r="C19" s="26">
        <v>0.25</v>
      </c>
      <c r="D19" s="26">
        <v>0.11</v>
      </c>
      <c r="E19" s="26">
        <v>0.14000000000000001</v>
      </c>
      <c r="F19" s="27">
        <v>0.16</v>
      </c>
      <c r="G19" s="26">
        <v>0.33999999999999997</v>
      </c>
      <c r="H19" s="28">
        <v>0.14000000000000001</v>
      </c>
      <c r="I19" s="33">
        <v>0.43750000000000006</v>
      </c>
    </row>
    <row r="20" spans="2:9" x14ac:dyDescent="0.3">
      <c r="B20" s="7" t="s">
        <v>38</v>
      </c>
      <c r="C20" s="26">
        <v>0.22</v>
      </c>
      <c r="D20" s="26">
        <v>0.11</v>
      </c>
      <c r="E20" s="26">
        <v>0.19</v>
      </c>
      <c r="F20" s="27">
        <v>0.18</v>
      </c>
      <c r="G20" s="26">
        <v>0.30000000000000004</v>
      </c>
      <c r="H20" s="28">
        <v>0.15</v>
      </c>
      <c r="I20" s="33">
        <v>0.27272727272727271</v>
      </c>
    </row>
    <row r="21" spans="2:9" x14ac:dyDescent="0.3">
      <c r="B21" s="7" t="s">
        <v>16</v>
      </c>
      <c r="C21" s="26">
        <v>0.21</v>
      </c>
      <c r="D21" s="26">
        <v>0.05</v>
      </c>
      <c r="E21" s="26">
        <v>0.06</v>
      </c>
      <c r="F21" s="27">
        <v>0.32</v>
      </c>
      <c r="G21" s="26">
        <v>0.36</v>
      </c>
      <c r="H21" s="28">
        <v>0.26</v>
      </c>
      <c r="I21" s="33">
        <v>0.74285714285714277</v>
      </c>
    </row>
    <row r="22" spans="2:9" x14ac:dyDescent="0.3">
      <c r="B22" s="7" t="s">
        <v>17</v>
      </c>
      <c r="C22" s="26">
        <v>0.09</v>
      </c>
      <c r="D22" s="26">
        <v>0.01</v>
      </c>
      <c r="E22" s="26">
        <v>7.0000000000000007E-2</v>
      </c>
      <c r="F22" s="27">
        <v>0.66</v>
      </c>
      <c r="G22" s="26">
        <v>0.16999999999999993</v>
      </c>
      <c r="H22" s="28">
        <v>0.16</v>
      </c>
      <c r="I22" s="33">
        <v>0.94117647058823528</v>
      </c>
    </row>
    <row r="23" spans="2:9" x14ac:dyDescent="0.3">
      <c r="B23" s="7" t="s">
        <v>18</v>
      </c>
      <c r="C23" s="26">
        <v>0.33</v>
      </c>
      <c r="D23" s="26">
        <v>0.12</v>
      </c>
      <c r="E23" s="26">
        <v>0.11</v>
      </c>
      <c r="F23" s="27">
        <v>0.22</v>
      </c>
      <c r="G23" s="26">
        <v>0.21999999999999997</v>
      </c>
      <c r="H23" s="28">
        <v>0.13</v>
      </c>
      <c r="I23" s="33">
        <v>0.56521739130434789</v>
      </c>
    </row>
    <row r="24" spans="2:9" x14ac:dyDescent="0.3">
      <c r="B24" s="7" t="s">
        <v>19</v>
      </c>
      <c r="C24" s="26">
        <v>0.43</v>
      </c>
      <c r="D24" s="26">
        <v>0.17</v>
      </c>
      <c r="E24" s="26">
        <v>0.1</v>
      </c>
      <c r="F24" s="27">
        <v>0.08</v>
      </c>
      <c r="G24" s="26">
        <v>0.22000000000000008</v>
      </c>
      <c r="H24" s="28">
        <v>0.08</v>
      </c>
      <c r="I24" s="33">
        <v>0.29629629629629628</v>
      </c>
    </row>
    <row r="25" spans="2:9" x14ac:dyDescent="0.3">
      <c r="B25" s="7" t="s">
        <v>20</v>
      </c>
      <c r="C25" s="26">
        <v>0.06</v>
      </c>
      <c r="D25" s="26">
        <v>0.08</v>
      </c>
      <c r="E25" s="26">
        <v>0.04</v>
      </c>
      <c r="F25" s="27">
        <v>0.49</v>
      </c>
      <c r="G25" s="26">
        <v>0.32999999999999996</v>
      </c>
      <c r="H25" s="28">
        <v>0.48</v>
      </c>
      <c r="I25" s="33">
        <v>0.92307692307692302</v>
      </c>
    </row>
    <row r="26" spans="2:9" x14ac:dyDescent="0.3">
      <c r="B26" s="7" t="s">
        <v>21</v>
      </c>
      <c r="C26" s="26">
        <v>0.19</v>
      </c>
      <c r="D26" s="26">
        <v>0.01</v>
      </c>
      <c r="E26" s="26">
        <v>0.19</v>
      </c>
      <c r="F26" s="27">
        <v>0.31</v>
      </c>
      <c r="G26" s="26">
        <v>0.30000000000000004</v>
      </c>
      <c r="H26" s="28">
        <v>0.14000000000000001</v>
      </c>
      <c r="I26" s="33">
        <v>0.73684210526315796</v>
      </c>
    </row>
    <row r="27" spans="2:9" x14ac:dyDescent="0.3">
      <c r="B27" s="7" t="s">
        <v>22</v>
      </c>
      <c r="C27" s="26">
        <v>0.13</v>
      </c>
      <c r="D27" s="26">
        <v>0.11</v>
      </c>
      <c r="E27" s="26">
        <v>0.11</v>
      </c>
      <c r="F27" s="27">
        <v>0.28999999999999998</v>
      </c>
      <c r="G27" s="26">
        <v>0.3600000000000001</v>
      </c>
      <c r="H27" s="28">
        <v>0.25</v>
      </c>
      <c r="I27" s="33">
        <v>0.80645161290322587</v>
      </c>
    </row>
    <row r="28" spans="2:9" x14ac:dyDescent="0.3">
      <c r="B28" s="7" t="s">
        <v>23</v>
      </c>
      <c r="C28" s="26">
        <v>0.22</v>
      </c>
      <c r="D28" s="26">
        <v>0.03</v>
      </c>
      <c r="E28" s="26">
        <v>0.06</v>
      </c>
      <c r="F28" s="27">
        <v>0.3</v>
      </c>
      <c r="G28" s="26">
        <v>0.39</v>
      </c>
      <c r="H28" s="28">
        <v>0.15</v>
      </c>
      <c r="I28" s="33">
        <v>0.78947368421052633</v>
      </c>
    </row>
    <row r="29" spans="2:9" x14ac:dyDescent="0.3">
      <c r="B29" s="7" t="s">
        <v>24</v>
      </c>
      <c r="C29" s="26">
        <v>0.23</v>
      </c>
      <c r="D29" s="26">
        <v>0.1</v>
      </c>
      <c r="E29" s="26">
        <v>0.1</v>
      </c>
      <c r="F29" s="27">
        <v>0.18</v>
      </c>
      <c r="G29" s="26">
        <v>0.3899999999999999</v>
      </c>
      <c r="H29" s="28">
        <v>0.15</v>
      </c>
      <c r="I29" s="33">
        <v>0.83333333333333337</v>
      </c>
    </row>
    <row r="30" spans="2:9" x14ac:dyDescent="0.3">
      <c r="B30" s="7" t="s">
        <v>25</v>
      </c>
      <c r="C30" s="26">
        <v>0.27</v>
      </c>
      <c r="D30" s="26">
        <v>0.43</v>
      </c>
      <c r="E30" s="26">
        <v>0.1</v>
      </c>
      <c r="F30" s="27">
        <v>0.02</v>
      </c>
      <c r="G30" s="26">
        <v>0.18000000000000005</v>
      </c>
      <c r="H30" s="28">
        <v>0.02</v>
      </c>
      <c r="I30" s="33">
        <v>6.4516129032258063E-2</v>
      </c>
    </row>
    <row r="31" spans="2:9" x14ac:dyDescent="0.3">
      <c r="B31" s="7" t="s">
        <v>26</v>
      </c>
      <c r="C31" s="26">
        <v>0.19</v>
      </c>
      <c r="D31" s="26">
        <v>0.02</v>
      </c>
      <c r="E31" s="26">
        <v>0.34</v>
      </c>
      <c r="F31" s="27">
        <v>0.2</v>
      </c>
      <c r="G31" s="26">
        <v>0.25</v>
      </c>
      <c r="H31" s="28">
        <v>0.13</v>
      </c>
      <c r="I31" s="33">
        <v>0.44827586206896547</v>
      </c>
    </row>
    <row r="32" spans="2:9" x14ac:dyDescent="0.3">
      <c r="B32" s="7" t="s">
        <v>27</v>
      </c>
      <c r="C32" s="26">
        <v>0.2</v>
      </c>
      <c r="D32" s="26">
        <v>0.03</v>
      </c>
      <c r="E32" s="26">
        <v>0.04</v>
      </c>
      <c r="F32" s="27">
        <v>0.4</v>
      </c>
      <c r="G32" s="26">
        <v>0.32999999999999996</v>
      </c>
      <c r="H32" s="28">
        <v>0.37</v>
      </c>
      <c r="I32" s="33">
        <v>0.67272727272727262</v>
      </c>
    </row>
    <row r="33" spans="2:9" x14ac:dyDescent="0.3">
      <c r="B33" s="7" t="s">
        <v>39</v>
      </c>
      <c r="C33" s="26">
        <v>0.06</v>
      </c>
      <c r="D33" s="26">
        <v>0.19</v>
      </c>
      <c r="E33" s="26">
        <v>0.05</v>
      </c>
      <c r="F33" s="27">
        <v>0.2</v>
      </c>
      <c r="G33" s="26">
        <v>0.5</v>
      </c>
      <c r="H33" s="28">
        <v>0.16</v>
      </c>
      <c r="I33" s="33">
        <v>0.84210526315789469</v>
      </c>
    </row>
    <row r="34" spans="2:9" x14ac:dyDescent="0.3">
      <c r="B34" s="7" t="s">
        <v>28</v>
      </c>
      <c r="C34" s="26">
        <v>0.1</v>
      </c>
      <c r="D34" s="26">
        <v>0.28999999999999998</v>
      </c>
      <c r="E34" s="26">
        <v>0.09</v>
      </c>
      <c r="F34" s="27">
        <v>0.3</v>
      </c>
      <c r="G34" s="26">
        <v>0.21999999999999997</v>
      </c>
      <c r="H34" s="28">
        <v>0.18</v>
      </c>
      <c r="I34" s="33">
        <v>0.72</v>
      </c>
    </row>
    <row r="35" spans="2:9" x14ac:dyDescent="0.3">
      <c r="B35" s="7" t="s">
        <v>29</v>
      </c>
      <c r="C35" s="26">
        <v>0.17</v>
      </c>
      <c r="D35" s="26">
        <v>0.14000000000000001</v>
      </c>
      <c r="E35" s="26">
        <v>0.14000000000000001</v>
      </c>
      <c r="F35" s="27">
        <v>0.35</v>
      </c>
      <c r="G35" s="26">
        <v>0.19999999999999996</v>
      </c>
      <c r="H35" s="28">
        <v>0.19</v>
      </c>
      <c r="I35" s="33">
        <v>0.52777777777777779</v>
      </c>
    </row>
    <row r="36" spans="2:9" x14ac:dyDescent="0.3">
      <c r="B36" s="7" t="s">
        <v>30</v>
      </c>
      <c r="C36" s="26">
        <v>0.37</v>
      </c>
      <c r="D36" s="26">
        <v>0.13</v>
      </c>
      <c r="E36" s="26">
        <v>0.1</v>
      </c>
      <c r="F36" s="27">
        <v>0.22</v>
      </c>
      <c r="G36" s="26">
        <v>0.18000000000000005</v>
      </c>
      <c r="H36" s="28">
        <v>0.21</v>
      </c>
      <c r="I36" s="33">
        <v>0.53846153846153844</v>
      </c>
    </row>
    <row r="37" spans="2:9" x14ac:dyDescent="0.3">
      <c r="B37" s="7" t="s">
        <v>31</v>
      </c>
      <c r="C37" s="26">
        <v>0.3</v>
      </c>
      <c r="D37" s="26">
        <v>0.28000000000000003</v>
      </c>
      <c r="E37" s="26">
        <v>0.02</v>
      </c>
      <c r="F37" s="27">
        <v>0.16</v>
      </c>
      <c r="G37" s="26">
        <v>0.23999999999999988</v>
      </c>
      <c r="H37" s="28">
        <v>7.0000000000000007E-2</v>
      </c>
      <c r="I37" s="33">
        <v>0.20588235294117649</v>
      </c>
    </row>
    <row r="38" spans="2:9" x14ac:dyDescent="0.3">
      <c r="B38" s="7" t="s">
        <v>32</v>
      </c>
      <c r="C38" s="26">
        <v>0.18</v>
      </c>
      <c r="D38" s="26">
        <v>0.31</v>
      </c>
      <c r="E38" s="26">
        <v>0.17</v>
      </c>
      <c r="F38" s="27">
        <v>0.11</v>
      </c>
      <c r="G38" s="26">
        <v>0.22999999999999998</v>
      </c>
      <c r="H38" s="28">
        <v>0.1</v>
      </c>
      <c r="I38" s="33">
        <v>0.45454545454545459</v>
      </c>
    </row>
    <row r="39" spans="2:9" x14ac:dyDescent="0.3">
      <c r="B39" s="7" t="s">
        <v>40</v>
      </c>
      <c r="C39" s="26">
        <v>0.02</v>
      </c>
      <c r="D39" s="26">
        <v>0.87</v>
      </c>
      <c r="E39" s="26">
        <v>0.02</v>
      </c>
      <c r="F39" s="27">
        <v>0.01</v>
      </c>
      <c r="G39" s="26">
        <v>7.999999999999996E-2</v>
      </c>
      <c r="H39" s="28">
        <v>0.01</v>
      </c>
      <c r="I39" s="33">
        <v>0.5</v>
      </c>
    </row>
    <row r="40" spans="2:9" x14ac:dyDescent="0.3">
      <c r="B40" s="7" t="s">
        <v>33</v>
      </c>
      <c r="C40" s="26">
        <v>0.14000000000000001</v>
      </c>
      <c r="D40" s="26">
        <v>0.34</v>
      </c>
      <c r="E40" s="26">
        <v>0</v>
      </c>
      <c r="F40" s="27">
        <v>0.08</v>
      </c>
      <c r="G40" s="26">
        <v>0.43999999999999995</v>
      </c>
      <c r="H40" s="28">
        <v>7.0000000000000007E-2</v>
      </c>
      <c r="I40" s="33">
        <v>0.46666666666666662</v>
      </c>
    </row>
    <row r="41" spans="2:9" x14ac:dyDescent="0.3">
      <c r="B41" s="7" t="s">
        <v>41</v>
      </c>
      <c r="C41" s="26">
        <v>0.2</v>
      </c>
      <c r="D41" s="26">
        <v>0.15</v>
      </c>
      <c r="E41" s="26">
        <v>0.03</v>
      </c>
      <c r="F41" s="27">
        <v>0.31</v>
      </c>
      <c r="G41" s="26">
        <v>0.31000000000000005</v>
      </c>
      <c r="H41" s="28">
        <v>0.19</v>
      </c>
      <c r="I41" s="33">
        <v>0.55882352941176472</v>
      </c>
    </row>
    <row r="42" spans="2:9" x14ac:dyDescent="0.3">
      <c r="B42" s="7" t="s">
        <v>34</v>
      </c>
      <c r="C42" s="26">
        <v>0.13</v>
      </c>
      <c r="D42" s="26">
        <v>7.0000000000000007E-2</v>
      </c>
      <c r="E42" s="26">
        <v>0.16</v>
      </c>
      <c r="F42" s="27">
        <v>0.25</v>
      </c>
      <c r="G42" s="26">
        <v>0.39</v>
      </c>
      <c r="H42" s="28">
        <v>0.24</v>
      </c>
      <c r="I42" s="33">
        <v>0.66666666666666663</v>
      </c>
    </row>
    <row r="43" spans="2:9" x14ac:dyDescent="0.3">
      <c r="B43" s="7" t="s">
        <v>35</v>
      </c>
      <c r="C43" s="26">
        <v>0.12</v>
      </c>
      <c r="D43" s="26">
        <v>0.06</v>
      </c>
      <c r="E43" s="26">
        <v>0.12</v>
      </c>
      <c r="F43" s="27">
        <v>0.38</v>
      </c>
      <c r="G43" s="26">
        <v>0.32000000000000006</v>
      </c>
      <c r="H43" s="28">
        <v>0.19</v>
      </c>
      <c r="I43" s="33">
        <v>0.79166666666666674</v>
      </c>
    </row>
    <row r="44" spans="2:9" x14ac:dyDescent="0.3">
      <c r="B44" s="7" t="s">
        <v>36</v>
      </c>
      <c r="C44" s="26">
        <v>0.06</v>
      </c>
      <c r="D44" s="26">
        <v>0.06</v>
      </c>
      <c r="E44" s="26">
        <v>0.06</v>
      </c>
      <c r="F44" s="27">
        <v>0.33</v>
      </c>
      <c r="G44" s="26">
        <v>0.49</v>
      </c>
      <c r="H44" s="28">
        <v>0.26</v>
      </c>
      <c r="I44" s="33">
        <v>0.83870967741935487</v>
      </c>
    </row>
    <row r="45" spans="2:9" x14ac:dyDescent="0.3">
      <c r="B45" s="7" t="s">
        <v>53</v>
      </c>
      <c r="C45" s="26">
        <v>0.38</v>
      </c>
      <c r="D45" s="26">
        <v>0.25</v>
      </c>
      <c r="E45" s="26">
        <v>0.09</v>
      </c>
      <c r="F45" s="27">
        <v>0.09</v>
      </c>
      <c r="G45" s="26">
        <v>0.19000000000000006</v>
      </c>
      <c r="H45" s="28">
        <v>0.05</v>
      </c>
      <c r="I45" s="33">
        <v>0.14705882352941177</v>
      </c>
    </row>
    <row r="46" spans="2:9" x14ac:dyDescent="0.3">
      <c r="B46" s="7" t="s">
        <v>42</v>
      </c>
      <c r="C46" s="26">
        <v>0.06</v>
      </c>
      <c r="D46" s="26">
        <v>0.06</v>
      </c>
      <c r="E46" s="26">
        <v>0.04</v>
      </c>
      <c r="F46" s="27">
        <v>0.6</v>
      </c>
      <c r="G46" s="26">
        <v>0.24</v>
      </c>
      <c r="H46" s="28">
        <v>0.32</v>
      </c>
      <c r="I46" s="33">
        <v>0.76190476190476197</v>
      </c>
    </row>
    <row r="47" spans="2:9" ht="15" thickBot="1" x14ac:dyDescent="0.35">
      <c r="B47" s="7" t="s">
        <v>43</v>
      </c>
      <c r="C47" s="26">
        <v>0.03</v>
      </c>
      <c r="D47" s="26">
        <v>0.03</v>
      </c>
      <c r="E47" s="26">
        <v>0.06</v>
      </c>
      <c r="F47" s="27">
        <v>0.68</v>
      </c>
      <c r="G47" s="26">
        <v>0.19999999999999996</v>
      </c>
      <c r="H47" s="28">
        <v>0.11</v>
      </c>
      <c r="I47" s="33">
        <v>0.6875</v>
      </c>
    </row>
    <row r="48" spans="2:9" ht="15" thickBot="1" x14ac:dyDescent="0.35">
      <c r="B48" s="15" t="s">
        <v>46</v>
      </c>
      <c r="C48" s="29">
        <v>0.11</v>
      </c>
      <c r="D48" s="29">
        <v>0.1</v>
      </c>
      <c r="E48" s="29">
        <f t="shared" ref="C48:H48" si="0">AVERAGE(E3:E47)</f>
        <v>9.4444444444444428E-2</v>
      </c>
      <c r="F48" s="30">
        <v>0.43</v>
      </c>
      <c r="G48" s="31">
        <f t="shared" ref="G4:G48" si="1">1-SUM(C48:F48)</f>
        <v>0.26555555555555554</v>
      </c>
      <c r="H48" s="32"/>
      <c r="I4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 A.1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2024-03-03T20:07:02Z</dcterms:modified>
</cp:coreProperties>
</file>