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0. Transition Risk\Data\"/>
    </mc:Choice>
  </mc:AlternateContent>
  <xr:revisionPtr revIDLastSave="0" documentId="13_ncr:1_{02812323-6A20-404F-8691-AC5823F2B5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9a - Hansen" sheetId="3" r:id="rId1"/>
    <sheet name="Table 9b - Hansen" sheetId="4" r:id="rId2"/>
    <sheet name="Table 10a - Hansen" sheetId="1" r:id="rId3"/>
    <sheet name="Table 10b - Hanse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B4" i="3"/>
</calcChain>
</file>

<file path=xl/sharedStrings.xml><?xml version="1.0" encoding="utf-8"?>
<sst xmlns="http://schemas.openxmlformats.org/spreadsheetml/2006/main" count="20" uniqueCount="5">
  <si>
    <t>Oil</t>
  </si>
  <si>
    <t>Gas</t>
  </si>
  <si>
    <t>Coal</t>
  </si>
  <si>
    <t>Total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</si>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</sst>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</cellStyleXfs>
  <cellXfs count="26">
    <xf numFmtId="0" fontId="0" fillId="0" borderId="0" xfId="0"/>
    <xf numFmtId="0" fontId="2" fillId="0" borderId="0" xfId="2" applyAlignment="1">
      <alignment horizontal="left" vertical="top"/>
    </xf>
    <xf numFmtId="0" fontId="3" fillId="0" borderId="1" xfId="2" applyFont="1" applyBorder="1" applyAlignment="1">
      <alignment horizontal="left" wrapText="1"/>
    </xf>
    <xf numFmtId="0" fontId="4" fillId="0" borderId="3" xfId="2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9" fontId="3" fillId="0" borderId="2" xfId="2" applyNumberFormat="1" applyFont="1" applyBorder="1" applyAlignment="1">
      <alignment horizontal="center" vertical="top" shrinkToFit="1"/>
    </xf>
    <xf numFmtId="3" fontId="3" fillId="0" borderId="3" xfId="2" applyNumberFormat="1" applyFont="1" applyBorder="1" applyAlignment="1">
      <alignment horizontal="center" vertical="top" shrinkToFit="1"/>
    </xf>
    <xf numFmtId="3" fontId="3" fillId="0" borderId="1" xfId="2" applyNumberFormat="1" applyFont="1" applyBorder="1" applyAlignment="1">
      <alignment horizontal="center" vertical="top" shrinkToFit="1"/>
    </xf>
    <xf numFmtId="9" fontId="3" fillId="0" borderId="2" xfId="2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3" fillId="0" borderId="0" xfId="2" applyNumberFormat="1" applyFont="1" applyAlignment="1">
      <alignment horizontal="center" vertical="top" shrinkToFit="1"/>
    </xf>
    <xf numFmtId="0" fontId="3" fillId="0" borderId="1" xfId="3" applyFont="1" applyBorder="1" applyAlignment="1">
      <alignment horizontal="left" wrapText="1"/>
    </xf>
    <xf numFmtId="0" fontId="3" fillId="0" borderId="0" xfId="3" applyFont="1" applyAlignment="1">
      <alignment horizontal="left" vertical="top"/>
    </xf>
    <xf numFmtId="0" fontId="6" fillId="0" borderId="0" xfId="0" applyFont="1" applyAlignment="1"/>
    <xf numFmtId="0" fontId="4" fillId="0" borderId="3" xfId="3" applyFont="1" applyBorder="1" applyAlignment="1">
      <alignment horizontal="left" vertical="top" wrapText="1"/>
    </xf>
    <xf numFmtId="0" fontId="4" fillId="0" borderId="0" xfId="3" applyFont="1" applyAlignment="1">
      <alignment horizontal="left" vertical="top" wrapText="1"/>
    </xf>
    <xf numFmtId="9" fontId="3" fillId="0" borderId="2" xfId="1" applyFont="1" applyBorder="1" applyAlignment="1">
      <alignment horizontal="center" vertical="top" wrapText="1"/>
    </xf>
    <xf numFmtId="9" fontId="3" fillId="0" borderId="2" xfId="1" applyFont="1" applyBorder="1" applyAlignment="1">
      <alignment horizontal="center" vertical="top" shrinkToFit="1"/>
    </xf>
    <xf numFmtId="9" fontId="4" fillId="0" borderId="2" xfId="1" applyFont="1" applyBorder="1" applyAlignment="1">
      <alignment horizontal="center" vertical="top" wrapText="1"/>
    </xf>
    <xf numFmtId="2" fontId="6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top" shrinkToFit="1"/>
    </xf>
    <xf numFmtId="3" fontId="3" fillId="0" borderId="0" xfId="1" applyNumberFormat="1" applyFont="1" applyAlignment="1">
      <alignment horizontal="center" vertical="top" wrapText="1"/>
    </xf>
    <xf numFmtId="3" fontId="4" fillId="0" borderId="0" xfId="1" applyNumberFormat="1" applyFont="1" applyAlignment="1">
      <alignment horizontal="center" vertical="top" wrapText="1"/>
    </xf>
    <xf numFmtId="3" fontId="3" fillId="0" borderId="0" xfId="1" applyNumberFormat="1" applyFont="1" applyAlignment="1">
      <alignment horizontal="center" vertical="center" shrinkToFit="1"/>
    </xf>
    <xf numFmtId="3" fontId="3" fillId="0" borderId="0" xfId="1" applyNumberFormat="1" applyFont="1" applyAlignment="1">
      <alignment horizontal="center" vertical="center" wrapText="1"/>
    </xf>
  </cellXfs>
  <cellStyles count="4">
    <cellStyle name="Normal" xfId="0" builtinId="0"/>
    <cellStyle name="Normal 2" xfId="2" xr:uid="{8D096554-DB6C-4D93-8BF7-6D45ABBA3AC5}"/>
    <cellStyle name="Normal 3" xfId="3" xr:uid="{63686DD7-63B9-46E1-88B0-182FB6D4FD46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CC7E-E8B3-40C6-A668-1B9C81CF05D2}">
  <dimension ref="A1:G6"/>
  <sheetViews>
    <sheetView workbookViewId="0">
      <selection activeCell="A5" sqref="A5"/>
    </sheetView>
  </sheetViews>
  <sheetFormatPr baseColWidth="10" defaultRowHeight="15.6" x14ac:dyDescent="0.3"/>
  <cols>
    <col min="1" max="1" width="10.109375" style="14" customWidth="1"/>
    <col min="2" max="2" width="11.77734375" style="20" bestFit="1" customWidth="1"/>
    <col min="3" max="5" width="11.5546875" style="20"/>
    <col min="6" max="6" width="13.109375" style="20" bestFit="1" customWidth="1"/>
    <col min="7" max="16384" width="11.5546875" style="14"/>
  </cols>
  <sheetData>
    <row r="1" spans="1:7" ht="15.6" customHeight="1" x14ac:dyDescent="0.3">
      <c r="A1" s="12" t="s">
        <v>4</v>
      </c>
      <c r="B1" s="17">
        <v>0</v>
      </c>
      <c r="C1" s="18">
        <v>0.03</v>
      </c>
      <c r="D1" s="18">
        <v>0.05</v>
      </c>
      <c r="E1" s="18">
        <v>0.08</v>
      </c>
      <c r="F1" s="18">
        <v>0.1</v>
      </c>
      <c r="G1" s="13"/>
    </row>
    <row r="2" spans="1:7" ht="15.6" customHeight="1" x14ac:dyDescent="0.3">
      <c r="A2" s="15" t="s">
        <v>0</v>
      </c>
      <c r="B2" s="21">
        <v>23471</v>
      </c>
      <c r="C2" s="21">
        <v>17589</v>
      </c>
      <c r="D2" s="21">
        <v>14737</v>
      </c>
      <c r="E2" s="21">
        <v>11536</v>
      </c>
      <c r="F2" s="22">
        <v>9920</v>
      </c>
      <c r="G2" s="13"/>
    </row>
    <row r="3" spans="1:7" ht="15.6" customHeight="1" x14ac:dyDescent="0.3">
      <c r="A3" s="16" t="s">
        <v>1</v>
      </c>
      <c r="B3" s="21">
        <v>3914</v>
      </c>
      <c r="C3" s="21">
        <v>2977</v>
      </c>
      <c r="D3" s="21">
        <v>2513</v>
      </c>
      <c r="E3" s="21">
        <v>1981</v>
      </c>
      <c r="F3" s="22">
        <v>1708</v>
      </c>
      <c r="G3" s="13"/>
    </row>
    <row r="4" spans="1:7" ht="15.6" customHeight="1" x14ac:dyDescent="0.3">
      <c r="A4" s="16" t="s">
        <v>2</v>
      </c>
      <c r="B4" s="23">
        <f>B5-B2-B3</f>
        <v>3758</v>
      </c>
      <c r="C4" s="23">
        <f t="shared" ref="C4:F4" si="0">C5-C2-C3</f>
        <v>2603</v>
      </c>
      <c r="D4" s="23">
        <f t="shared" si="0"/>
        <v>2077</v>
      </c>
      <c r="E4" s="23">
        <f t="shared" si="0"/>
        <v>1522</v>
      </c>
      <c r="F4" s="23">
        <f t="shared" si="0"/>
        <v>1258</v>
      </c>
      <c r="G4" s="13"/>
    </row>
    <row r="5" spans="1:7" ht="15.6" customHeight="1" x14ac:dyDescent="0.3">
      <c r="A5" s="16" t="s">
        <v>3</v>
      </c>
      <c r="B5" s="24">
        <v>31143</v>
      </c>
      <c r="C5" s="24">
        <v>23169</v>
      </c>
      <c r="D5" s="24">
        <v>19327</v>
      </c>
      <c r="E5" s="24">
        <v>15039</v>
      </c>
      <c r="F5" s="25">
        <v>12886</v>
      </c>
      <c r="G5" s="13"/>
    </row>
    <row r="6" spans="1:7" ht="15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35D4-3460-4C6B-8C2D-4D7193FDD058}">
  <dimension ref="A1:G6"/>
  <sheetViews>
    <sheetView tabSelected="1" workbookViewId="0">
      <selection activeCell="A5" sqref="A5"/>
    </sheetView>
  </sheetViews>
  <sheetFormatPr baseColWidth="10" defaultRowHeight="15.6" x14ac:dyDescent="0.3"/>
  <cols>
    <col min="1" max="1" width="11.6640625" style="14" customWidth="1"/>
    <col min="2" max="5" width="13.109375" style="20" bestFit="1" customWidth="1"/>
    <col min="6" max="6" width="12" style="20" bestFit="1" customWidth="1"/>
    <col min="7" max="16384" width="11.5546875" style="14"/>
  </cols>
  <sheetData>
    <row r="1" spans="1:7" ht="15.6" customHeight="1" x14ac:dyDescent="0.3">
      <c r="A1" s="12" t="s">
        <v>4</v>
      </c>
      <c r="B1" s="19">
        <v>0</v>
      </c>
      <c r="C1" s="18">
        <v>0.03</v>
      </c>
      <c r="D1" s="18">
        <v>0.05</v>
      </c>
      <c r="E1" s="18">
        <v>0.08</v>
      </c>
      <c r="F1" s="18">
        <v>0.1</v>
      </c>
      <c r="G1" s="13"/>
    </row>
    <row r="2" spans="1:7" ht="15.6" customHeight="1" x14ac:dyDescent="0.3">
      <c r="A2" s="15" t="s">
        <v>0</v>
      </c>
      <c r="B2" s="21">
        <v>27233</v>
      </c>
      <c r="C2" s="21">
        <v>18394</v>
      </c>
      <c r="D2" s="21">
        <v>14417</v>
      </c>
      <c r="E2" s="21">
        <v>10266</v>
      </c>
      <c r="F2" s="21">
        <v>8323</v>
      </c>
      <c r="G2" s="13"/>
    </row>
    <row r="3" spans="1:7" ht="15.6" customHeight="1" x14ac:dyDescent="0.3">
      <c r="A3" s="16" t="s">
        <v>1</v>
      </c>
      <c r="B3" s="21">
        <v>4596</v>
      </c>
      <c r="C3" s="21">
        <v>2900</v>
      </c>
      <c r="D3" s="21">
        <v>2157</v>
      </c>
      <c r="E3" s="21">
        <v>1403</v>
      </c>
      <c r="F3" s="22">
        <v>1061</v>
      </c>
      <c r="G3" s="13"/>
    </row>
    <row r="4" spans="1:7" ht="15.6" customHeight="1" x14ac:dyDescent="0.3">
      <c r="A4" s="16" t="s">
        <v>2</v>
      </c>
      <c r="B4" s="21">
        <v>3758</v>
      </c>
      <c r="C4" s="21">
        <v>2603</v>
      </c>
      <c r="D4" s="21">
        <v>2077</v>
      </c>
      <c r="E4" s="21">
        <v>1522</v>
      </c>
      <c r="F4" s="22">
        <v>1258</v>
      </c>
      <c r="G4" s="13"/>
    </row>
    <row r="5" spans="1:7" ht="15.6" customHeight="1" x14ac:dyDescent="0.3">
      <c r="A5" s="16" t="s">
        <v>3</v>
      </c>
      <c r="B5" s="24">
        <v>35587</v>
      </c>
      <c r="C5" s="24">
        <v>23898</v>
      </c>
      <c r="D5" s="24">
        <v>18651</v>
      </c>
      <c r="E5" s="24">
        <v>13191</v>
      </c>
      <c r="F5" s="24">
        <v>10642</v>
      </c>
      <c r="G5" s="13"/>
    </row>
    <row r="6" spans="1:7" ht="15.6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22" sqref="E22"/>
    </sheetView>
  </sheetViews>
  <sheetFormatPr baseColWidth="10" defaultColWidth="8.88671875" defaultRowHeight="14.4" x14ac:dyDescent="0.3"/>
  <cols>
    <col min="1" max="6" width="11.5546875" customWidth="1"/>
  </cols>
  <sheetData>
    <row r="1" spans="1:7" ht="15.6" x14ac:dyDescent="0.3">
      <c r="A1" s="2" t="s">
        <v>4</v>
      </c>
      <c r="B1" s="9">
        <v>0</v>
      </c>
      <c r="C1" s="6">
        <v>0.03</v>
      </c>
      <c r="D1" s="6">
        <v>0.05</v>
      </c>
      <c r="E1" s="6">
        <v>0.08</v>
      </c>
      <c r="F1" s="6">
        <v>0.1</v>
      </c>
      <c r="G1" s="1"/>
    </row>
    <row r="2" spans="1:7" ht="15.6" x14ac:dyDescent="0.3">
      <c r="A2" s="3" t="s">
        <v>0</v>
      </c>
      <c r="B2" s="7">
        <v>27122</v>
      </c>
      <c r="C2" s="7">
        <v>20437</v>
      </c>
      <c r="D2" s="7">
        <v>17178</v>
      </c>
      <c r="E2" s="7">
        <v>13504</v>
      </c>
      <c r="F2" s="7">
        <v>11640</v>
      </c>
      <c r="G2" s="1"/>
    </row>
    <row r="3" spans="1:7" ht="15.6" x14ac:dyDescent="0.3">
      <c r="A3" s="4" t="s">
        <v>1</v>
      </c>
      <c r="B3" s="11">
        <v>8371</v>
      </c>
      <c r="C3" s="11">
        <v>6447</v>
      </c>
      <c r="D3" s="11">
        <v>5487</v>
      </c>
      <c r="E3" s="11">
        <v>4381</v>
      </c>
      <c r="F3" s="11">
        <v>3808</v>
      </c>
      <c r="G3" s="1"/>
    </row>
    <row r="4" spans="1:7" ht="15.6" x14ac:dyDescent="0.3">
      <c r="A4" s="4" t="s">
        <v>2</v>
      </c>
      <c r="B4" s="11">
        <v>5068</v>
      </c>
      <c r="C4" s="11">
        <v>3564</v>
      </c>
      <c r="D4" s="11">
        <v>2872</v>
      </c>
      <c r="E4" s="11">
        <v>2132</v>
      </c>
      <c r="F4" s="11">
        <v>1777</v>
      </c>
      <c r="G4" s="1"/>
    </row>
    <row r="5" spans="1:7" ht="15.6" x14ac:dyDescent="0.3">
      <c r="A5" s="5" t="s">
        <v>3</v>
      </c>
      <c r="B5" s="8">
        <v>40561</v>
      </c>
      <c r="C5" s="8">
        <v>30448</v>
      </c>
      <c r="D5" s="8">
        <v>25537</v>
      </c>
      <c r="E5" s="8">
        <v>20018</v>
      </c>
      <c r="F5" s="8">
        <v>17225</v>
      </c>
      <c r="G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104B-A29F-48EB-9801-A325D1DE59A0}">
  <dimension ref="A1:F5"/>
  <sheetViews>
    <sheetView workbookViewId="0">
      <selection activeCell="G18" sqref="G18"/>
    </sheetView>
  </sheetViews>
  <sheetFormatPr baseColWidth="10" defaultRowHeight="14.4" x14ac:dyDescent="0.3"/>
  <cols>
    <col min="2" max="6" width="11.5546875" style="10"/>
  </cols>
  <sheetData>
    <row r="1" spans="1:6" ht="15.6" x14ac:dyDescent="0.3">
      <c r="A1" s="2" t="s">
        <v>4</v>
      </c>
      <c r="B1" s="9">
        <v>0</v>
      </c>
      <c r="C1" s="6">
        <v>0.03</v>
      </c>
      <c r="D1" s="6">
        <v>0.05</v>
      </c>
      <c r="E1" s="6">
        <v>0.08</v>
      </c>
      <c r="F1" s="6">
        <v>0.1</v>
      </c>
    </row>
    <row r="2" spans="1:6" ht="15.6" x14ac:dyDescent="0.3">
      <c r="A2" s="3" t="s">
        <v>0</v>
      </c>
      <c r="B2" s="7">
        <v>30873</v>
      </c>
      <c r="C2" s="7">
        <v>20930</v>
      </c>
      <c r="D2" s="7">
        <v>16443</v>
      </c>
      <c r="E2" s="7">
        <v>11746</v>
      </c>
      <c r="F2" s="7">
        <v>9541</v>
      </c>
    </row>
    <row r="3" spans="1:6" ht="15.6" x14ac:dyDescent="0.3">
      <c r="A3" s="4" t="s">
        <v>1</v>
      </c>
      <c r="B3" s="11">
        <v>9099</v>
      </c>
      <c r="C3" s="11">
        <v>5993</v>
      </c>
      <c r="D3" s="11">
        <v>4607</v>
      </c>
      <c r="E3" s="11">
        <v>3172</v>
      </c>
      <c r="F3" s="11">
        <v>2507</v>
      </c>
    </row>
    <row r="4" spans="1:6" ht="15.6" x14ac:dyDescent="0.3">
      <c r="A4" s="4" t="s">
        <v>2</v>
      </c>
      <c r="B4" s="11">
        <v>5068</v>
      </c>
      <c r="C4" s="11">
        <v>3564</v>
      </c>
      <c r="D4" s="11">
        <v>2872</v>
      </c>
      <c r="E4" s="11">
        <v>2132</v>
      </c>
      <c r="F4" s="11">
        <v>1777</v>
      </c>
    </row>
    <row r="5" spans="1:6" ht="15.6" x14ac:dyDescent="0.3">
      <c r="A5" s="5" t="s">
        <v>3</v>
      </c>
      <c r="B5" s="8">
        <v>45040</v>
      </c>
      <c r="C5" s="8">
        <v>30487</v>
      </c>
      <c r="D5" s="8">
        <v>23921</v>
      </c>
      <c r="E5" s="8">
        <v>17051</v>
      </c>
      <c r="F5" s="8">
        <v>13825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 9a - Hansen</vt:lpstr>
      <vt:lpstr>Table 9b - Hansen</vt:lpstr>
      <vt:lpstr>Table 10a - Hansen</vt:lpstr>
      <vt:lpstr>Table 10b - Hansen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2025-09-13T08:22:59Z</dcterms:modified>
</cp:coreProperties>
</file>