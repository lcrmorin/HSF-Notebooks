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17FF9CD6-4F1B-4C47-9376-9166C94D8C8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lobal AUM" sheetId="1" r:id="rId1"/>
    <sheet name="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8" i="2" l="1"/>
  <c r="K68" i="2"/>
  <c r="J68" i="2"/>
  <c r="I68" i="2"/>
  <c r="H68" i="2"/>
  <c r="G68" i="2"/>
  <c r="F68" i="2"/>
  <c r="E68" i="2"/>
  <c r="D68" i="2"/>
  <c r="K54" i="2"/>
  <c r="K51" i="2"/>
  <c r="K48" i="2"/>
  <c r="L7" i="2"/>
  <c r="I25" i="2"/>
  <c r="H21" i="2"/>
  <c r="I20" i="2"/>
  <c r="I10" i="2"/>
  <c r="E21" i="2"/>
  <c r="F20" i="2"/>
  <c r="E16" i="2"/>
  <c r="E13" i="2"/>
  <c r="F10" i="2"/>
  <c r="H10" i="1"/>
  <c r="H5" i="1"/>
  <c r="H6" i="1"/>
  <c r="H7" i="1"/>
  <c r="H8" i="1"/>
  <c r="H9" i="1"/>
  <c r="H4" i="1"/>
  <c r="G5" i="1"/>
  <c r="G6" i="1"/>
  <c r="G7" i="1"/>
  <c r="G8" i="1"/>
  <c r="G9" i="1"/>
  <c r="G4" i="1"/>
  <c r="E10" i="1"/>
  <c r="F10" i="1"/>
  <c r="E5" i="1"/>
  <c r="E6" i="1"/>
  <c r="E7" i="1"/>
  <c r="E8" i="1"/>
  <c r="E9" i="1"/>
  <c r="E4" i="1"/>
  <c r="D10" i="1"/>
  <c r="G10" i="1" l="1"/>
</calcChain>
</file>

<file path=xl/sharedStrings.xml><?xml version="1.0" encoding="utf-8"?>
<sst xmlns="http://schemas.openxmlformats.org/spreadsheetml/2006/main" count="100" uniqueCount="89">
  <si>
    <t>Region</t>
  </si>
  <si>
    <t>Europe</t>
  </si>
  <si>
    <t>United States</t>
  </si>
  <si>
    <t>Asia ex-Japan</t>
  </si>
  <si>
    <t>Australasia</t>
  </si>
  <si>
    <t>Japan</t>
  </si>
  <si>
    <t>Canada</t>
  </si>
  <si>
    <t>Total</t>
  </si>
  <si>
    <t>#</t>
  </si>
  <si>
    <t>$ bn</t>
  </si>
  <si>
    <t>in %</t>
  </si>
  <si>
    <t>$ mn</t>
  </si>
  <si>
    <t>Funds</t>
  </si>
  <si>
    <t>AUM</t>
  </si>
  <si>
    <t>Fund size</t>
  </si>
  <si>
    <t>Nordea</t>
  </si>
  <si>
    <t>Vanguard</t>
  </si>
  <si>
    <t>BNP Paribas</t>
  </si>
  <si>
    <t>Swisscanto</t>
  </si>
  <si>
    <t>Natixis</t>
  </si>
  <si>
    <t>Pictet</t>
  </si>
  <si>
    <t>Handelsbanken</t>
  </si>
  <si>
    <t>State Street</t>
  </si>
  <si>
    <t>Northern Trust</t>
  </si>
  <si>
    <t>Parnassus</t>
  </si>
  <si>
    <t>Legal &amp; General</t>
  </si>
  <si>
    <t>Eurizon</t>
  </si>
  <si>
    <t>Länsförsäkringar</t>
  </si>
  <si>
    <t>Eaton Vance</t>
  </si>
  <si>
    <t>Invesco</t>
  </si>
  <si>
    <t>Royal London</t>
  </si>
  <si>
    <t>AXA</t>
  </si>
  <si>
    <t>Storebrand Fonder</t>
  </si>
  <si>
    <t>KBC</t>
  </si>
  <si>
    <t>Union Investment</t>
  </si>
  <si>
    <t>Cathay Securities Investment</t>
  </si>
  <si>
    <t>HSBC</t>
  </si>
  <si>
    <t>Robeco</t>
  </si>
  <si>
    <t>Scottish Widows</t>
  </si>
  <si>
    <t>Vontobel</t>
  </si>
  <si>
    <t>Schroders</t>
  </si>
  <si>
    <t>Somme</t>
  </si>
  <si>
    <t>Moyenne</t>
  </si>
  <si>
    <t>Résultat cumulé</t>
  </si>
  <si>
    <t>Nombre</t>
  </si>
  <si>
    <t>BlackRock</t>
  </si>
  <si>
    <t>UBS</t>
  </si>
  <si>
    <t>Amundi</t>
  </si>
  <si>
    <t>DWS</t>
  </si>
  <si>
    <t>Goldman Sachs</t>
  </si>
  <si>
    <t>Firm</t>
  </si>
  <si>
    <t>Active</t>
  </si>
  <si>
    <t>Passive</t>
  </si>
  <si>
    <t>Deka</t>
  </si>
  <si>
    <t>Swedbank</t>
  </si>
  <si>
    <t>Candriam</t>
  </si>
  <si>
    <t>Cardano Asset</t>
  </si>
  <si>
    <t>Calvert</t>
  </si>
  <si>
    <t>Dimensional</t>
  </si>
  <si>
    <t>Impax</t>
  </si>
  <si>
    <t>Fidelity</t>
  </si>
  <si>
    <t>Putnam</t>
  </si>
  <si>
    <t>Eventide</t>
  </si>
  <si>
    <t>Global</t>
  </si>
  <si>
    <t>Kraneshares</t>
  </si>
  <si>
    <t>PIMCO</t>
  </si>
  <si>
    <t>TCW</t>
  </si>
  <si>
    <t>Domini</t>
  </si>
  <si>
    <t>Flexshares</t>
  </si>
  <si>
    <t>VanEck</t>
  </si>
  <si>
    <t>RBC</t>
  </si>
  <si>
    <t>Jackson</t>
  </si>
  <si>
    <t>ALPS</t>
  </si>
  <si>
    <t>Brown Advisory</t>
  </si>
  <si>
    <t>First Trust</t>
  </si>
  <si>
    <t>American Century</t>
  </si>
  <si>
    <t>Praxis Mutual Funds</t>
  </si>
  <si>
    <t>Boston Trust Walden</t>
  </si>
  <si>
    <t>Global X</t>
  </si>
  <si>
    <t>Community Capital</t>
  </si>
  <si>
    <t>New York Life</t>
  </si>
  <si>
    <t>Green Century</t>
  </si>
  <si>
    <t>Neuberger Berman</t>
  </si>
  <si>
    <t>Victory Capital</t>
  </si>
  <si>
    <t>Allianz GI</t>
  </si>
  <si>
    <t>Mercer GI</t>
  </si>
  <si>
    <t>Cathay Securities Inv.</t>
  </si>
  <si>
    <t>US</t>
  </si>
  <si>
    <t>Nuveen/TIAA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</si>
</sst>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164" fontId="0" fillId="2" borderId="0" xfId="1" applyNumberFormat="1" applyFont="1" applyFill="1" applyBorder="1"/>
    <xf numFmtId="0" fontId="0" fillId="2" borderId="7" xfId="0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0" fillId="2" borderId="9" xfId="0" applyFill="1" applyBorder="1"/>
    <xf numFmtId="164" fontId="0" fillId="2" borderId="6" xfId="1" applyNumberFormat="1" applyFont="1" applyFill="1" applyBorder="1"/>
    <xf numFmtId="164" fontId="0" fillId="2" borderId="9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1" fontId="0" fillId="2" borderId="12" xfId="0" applyNumberFormat="1" applyFill="1" applyBorder="1"/>
    <xf numFmtId="1" fontId="0" fillId="2" borderId="11" xfId="0" applyNumberFormat="1" applyFill="1" applyBorder="1"/>
    <xf numFmtId="0" fontId="0" fillId="2" borderId="10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7" fontId="0" fillId="2" borderId="0" xfId="0" applyNumberFormat="1" applyFill="1"/>
    <xf numFmtId="167" fontId="0" fillId="2" borderId="3" xfId="0" applyNumberFormat="1" applyFill="1" applyBorder="1"/>
    <xf numFmtId="167" fontId="0" fillId="2" borderId="0" xfId="0" applyNumberFormat="1" applyFill="1" applyBorder="1"/>
    <xf numFmtId="167" fontId="0" fillId="2" borderId="6" xfId="0" applyNumberFormat="1" applyFill="1" applyBorder="1"/>
    <xf numFmtId="167" fontId="0" fillId="2" borderId="8" xfId="0" applyNumberFormat="1" applyFill="1" applyBorder="1"/>
    <xf numFmtId="167" fontId="0" fillId="2" borderId="9" xfId="0" applyNumberFormat="1" applyFill="1" applyBorder="1"/>
    <xf numFmtId="167" fontId="0" fillId="2" borderId="5" xfId="0" applyNumberFormat="1" applyFill="1" applyBorder="1"/>
    <xf numFmtId="167" fontId="0" fillId="2" borderId="7" xfId="0" applyNumberFormat="1" applyFill="1" applyBorder="1"/>
    <xf numFmtId="167" fontId="0" fillId="2" borderId="14" xfId="0" applyNumberFormat="1" applyFill="1" applyBorder="1"/>
    <xf numFmtId="167" fontId="0" fillId="2" borderId="15" xfId="0" applyNumberFormat="1" applyFill="1" applyBorder="1"/>
    <xf numFmtId="167" fontId="0" fillId="2" borderId="13" xfId="0" applyNumberFormat="1" applyFill="1" applyBorder="1"/>
    <xf numFmtId="167" fontId="0" fillId="2" borderId="13" xfId="0" applyNumberFormat="1" applyFill="1" applyBorder="1" applyAlignment="1">
      <alignment horizontal="right"/>
    </xf>
    <xf numFmtId="167" fontId="0" fillId="2" borderId="14" xfId="0" applyNumberFormat="1" applyFill="1" applyBorder="1" applyAlignment="1">
      <alignment horizontal="right"/>
    </xf>
    <xf numFmtId="167" fontId="0" fillId="2" borderId="15" xfId="0" applyNumberFormat="1" applyFill="1" applyBorder="1" applyAlignment="1">
      <alignment horizontal="right"/>
    </xf>
    <xf numFmtId="0" fontId="0" fillId="2" borderId="1" xfId="0" applyFill="1" applyBorder="1"/>
    <xf numFmtId="0" fontId="0" fillId="2" borderId="12" xfId="0" applyFill="1" applyBorder="1"/>
    <xf numFmtId="167" fontId="0" fillId="2" borderId="3" xfId="0" applyNumberFormat="1" applyFill="1" applyBorder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0"/>
  <sheetViews>
    <sheetView workbookViewId="0">
      <selection activeCell="J16" sqref="J16"/>
    </sheetView>
  </sheetViews>
  <sheetFormatPr baseColWidth="10" defaultColWidth="8.88671875" defaultRowHeight="14.4" x14ac:dyDescent="0.3"/>
  <cols>
    <col min="1" max="2" width="8.88671875" style="1"/>
    <col min="3" max="3" width="14.33203125" style="1" customWidth="1"/>
    <col min="4" max="16384" width="8.88671875" style="1"/>
  </cols>
  <sheetData>
    <row r="1" spans="3:8" ht="15" thickBot="1" x14ac:dyDescent="0.35"/>
    <row r="2" spans="3:8" x14ac:dyDescent="0.3">
      <c r="C2" s="2"/>
      <c r="D2" s="23" t="s">
        <v>12</v>
      </c>
      <c r="E2" s="24"/>
      <c r="F2" s="23" t="s">
        <v>13</v>
      </c>
      <c r="G2" s="24"/>
      <c r="H2" s="18" t="s">
        <v>14</v>
      </c>
    </row>
    <row r="3" spans="3:8" ht="15" thickBot="1" x14ac:dyDescent="0.35">
      <c r="C3" s="8" t="s">
        <v>0</v>
      </c>
      <c r="D3" s="19" t="s">
        <v>8</v>
      </c>
      <c r="E3" s="20" t="s">
        <v>10</v>
      </c>
      <c r="F3" s="21" t="s">
        <v>9</v>
      </c>
      <c r="G3" s="21" t="s">
        <v>10</v>
      </c>
      <c r="H3" s="22" t="s">
        <v>11</v>
      </c>
    </row>
    <row r="4" spans="3:8" x14ac:dyDescent="0.3">
      <c r="C4" s="4" t="s">
        <v>1</v>
      </c>
      <c r="D4" s="4">
        <v>5433</v>
      </c>
      <c r="E4" s="12">
        <f>D4/$D$10</f>
        <v>0.7258517034068136</v>
      </c>
      <c r="F4" s="5">
        <v>2492</v>
      </c>
      <c r="G4" s="7">
        <f>F4/$F$10</f>
        <v>0.83990562858105833</v>
      </c>
      <c r="H4" s="16">
        <f>F4/D4*1000</f>
        <v>458.678446530462</v>
      </c>
    </row>
    <row r="5" spans="3:8" x14ac:dyDescent="0.3">
      <c r="C5" s="4" t="s">
        <v>2</v>
      </c>
      <c r="D5" s="4">
        <v>647</v>
      </c>
      <c r="E5" s="12">
        <f t="shared" ref="E5:G10" si="0">D5/$D$10</f>
        <v>8.6439545758183037E-2</v>
      </c>
      <c r="F5" s="5">
        <v>324</v>
      </c>
      <c r="G5" s="7">
        <f t="shared" ref="G5:G9" si="1">F5/$F$10</f>
        <v>0.10920121334681497</v>
      </c>
      <c r="H5" s="16">
        <f t="shared" ref="H5:H9" si="2">F5/D5*1000</f>
        <v>500.77279752704794</v>
      </c>
    </row>
    <row r="6" spans="3:8" x14ac:dyDescent="0.3">
      <c r="C6" s="4" t="s">
        <v>3</v>
      </c>
      <c r="D6" s="4">
        <v>595</v>
      </c>
      <c r="E6" s="12">
        <f t="shared" si="0"/>
        <v>7.9492317969271878E-2</v>
      </c>
      <c r="F6" s="5">
        <v>62</v>
      </c>
      <c r="G6" s="7">
        <f t="shared" si="1"/>
        <v>2.0896528479946073E-2</v>
      </c>
      <c r="H6" s="16">
        <f t="shared" si="2"/>
        <v>104.20168067226891</v>
      </c>
    </row>
    <row r="7" spans="3:8" x14ac:dyDescent="0.3">
      <c r="C7" s="4" t="s">
        <v>4</v>
      </c>
      <c r="D7" s="4">
        <v>263</v>
      </c>
      <c r="E7" s="12">
        <f t="shared" si="0"/>
        <v>3.5136940547762188E-2</v>
      </c>
      <c r="F7" s="5">
        <v>33</v>
      </c>
      <c r="G7" s="7">
        <f t="shared" si="1"/>
        <v>1.1122345803842264E-2</v>
      </c>
      <c r="H7" s="16">
        <f t="shared" si="2"/>
        <v>125.47528517110266</v>
      </c>
    </row>
    <row r="8" spans="3:8" x14ac:dyDescent="0.3">
      <c r="C8" s="4" t="s">
        <v>5</v>
      </c>
      <c r="D8" s="4">
        <v>235</v>
      </c>
      <c r="E8" s="12">
        <f t="shared" si="0"/>
        <v>3.1396125584502339E-2</v>
      </c>
      <c r="F8" s="5">
        <v>25</v>
      </c>
      <c r="G8" s="7">
        <f t="shared" si="1"/>
        <v>8.426019548365353E-3</v>
      </c>
      <c r="H8" s="16">
        <f t="shared" si="2"/>
        <v>106.38297872340425</v>
      </c>
    </row>
    <row r="9" spans="3:8" x14ac:dyDescent="0.3">
      <c r="C9" s="4" t="s">
        <v>6</v>
      </c>
      <c r="D9" s="4">
        <v>312</v>
      </c>
      <c r="E9" s="12">
        <f t="shared" si="0"/>
        <v>4.1683366733466932E-2</v>
      </c>
      <c r="F9" s="5">
        <v>31</v>
      </c>
      <c r="G9" s="7">
        <f t="shared" si="1"/>
        <v>1.0448264239973037E-2</v>
      </c>
      <c r="H9" s="16">
        <f t="shared" si="2"/>
        <v>99.358974358974351</v>
      </c>
    </row>
    <row r="10" spans="3:8" ht="15" thickBot="1" x14ac:dyDescent="0.35">
      <c r="C10" s="8" t="s">
        <v>7</v>
      </c>
      <c r="D10" s="8">
        <f>SUM(D4:D9)</f>
        <v>7485</v>
      </c>
      <c r="E10" s="13">
        <f>SUM(E4:E9)</f>
        <v>1</v>
      </c>
      <c r="F10" s="9">
        <f>SUM(F4:F9)</f>
        <v>2967</v>
      </c>
      <c r="G10" s="10">
        <f>SUM(G4:G9)</f>
        <v>1</v>
      </c>
      <c r="H10" s="17">
        <f>F10/D10*1000</f>
        <v>396.39278557114227</v>
      </c>
    </row>
  </sheetData>
  <mergeCells count="2"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3B53-E7E4-4CF5-A336-5450FF04907C}">
  <dimension ref="C2:M68"/>
  <sheetViews>
    <sheetView tabSelected="1" topLeftCell="A45" workbookViewId="0">
      <selection activeCell="C68" sqref="C68"/>
    </sheetView>
  </sheetViews>
  <sheetFormatPr baseColWidth="10" defaultRowHeight="14.4" x14ac:dyDescent="0.3"/>
  <cols>
    <col min="1" max="2" width="11.5546875" style="1"/>
    <col min="3" max="3" width="18.6640625" style="1" customWidth="1"/>
    <col min="4" max="6" width="6.77734375" style="25" customWidth="1"/>
    <col min="7" max="12" width="6.77734375" style="1" customWidth="1"/>
    <col min="13" max="16384" width="11.5546875" style="1"/>
  </cols>
  <sheetData>
    <row r="2" spans="3:13" ht="15" thickBot="1" x14ac:dyDescent="0.35">
      <c r="D2" s="25" t="s">
        <v>63</v>
      </c>
      <c r="G2" s="1" t="s">
        <v>1</v>
      </c>
      <c r="J2" s="1" t="s">
        <v>87</v>
      </c>
    </row>
    <row r="3" spans="3:13" ht="15" thickBot="1" x14ac:dyDescent="0.35">
      <c r="C3" s="14" t="s">
        <v>50</v>
      </c>
      <c r="D3" s="41" t="s">
        <v>7</v>
      </c>
      <c r="E3" s="41" t="s">
        <v>51</v>
      </c>
      <c r="F3" s="41" t="s">
        <v>52</v>
      </c>
      <c r="G3" s="36" t="s">
        <v>7</v>
      </c>
      <c r="H3" s="37" t="s">
        <v>51</v>
      </c>
      <c r="I3" s="37" t="s">
        <v>52</v>
      </c>
      <c r="J3" s="36" t="s">
        <v>7</v>
      </c>
      <c r="K3" s="37" t="s">
        <v>51</v>
      </c>
      <c r="L3" s="38" t="s">
        <v>52</v>
      </c>
    </row>
    <row r="4" spans="3:13" x14ac:dyDescent="0.3">
      <c r="C4" s="14" t="s">
        <v>45</v>
      </c>
      <c r="D4" s="26">
        <v>318.10000000000002</v>
      </c>
      <c r="E4" s="26">
        <v>46.8</v>
      </c>
      <c r="F4" s="26">
        <v>271.3</v>
      </c>
      <c r="G4" s="2">
        <v>256.8</v>
      </c>
      <c r="H4" s="3">
        <v>41.5</v>
      </c>
      <c r="I4" s="3">
        <v>215.3</v>
      </c>
      <c r="J4" s="4">
        <v>59.2</v>
      </c>
      <c r="K4" s="5">
        <v>5.5</v>
      </c>
      <c r="L4" s="6">
        <v>53.7</v>
      </c>
      <c r="M4" s="25"/>
    </row>
    <row r="5" spans="3:13" x14ac:dyDescent="0.3">
      <c r="C5" s="40" t="s">
        <v>46</v>
      </c>
      <c r="D5" s="27">
        <v>164.7</v>
      </c>
      <c r="E5" s="27">
        <v>66</v>
      </c>
      <c r="F5" s="27">
        <v>98.7</v>
      </c>
      <c r="G5" s="4">
        <v>164.2</v>
      </c>
      <c r="H5" s="5">
        <v>65.599999999999994</v>
      </c>
      <c r="I5" s="5">
        <v>98.5</v>
      </c>
      <c r="J5" s="31"/>
      <c r="K5" s="5"/>
      <c r="L5" s="6"/>
      <c r="M5" s="25"/>
    </row>
    <row r="6" spans="3:13" x14ac:dyDescent="0.3">
      <c r="C6" s="40" t="s">
        <v>47</v>
      </c>
      <c r="D6" s="27">
        <v>161</v>
      </c>
      <c r="E6" s="27">
        <v>84.1</v>
      </c>
      <c r="F6" s="27">
        <v>76.900000000000006</v>
      </c>
      <c r="G6" s="4">
        <v>164</v>
      </c>
      <c r="H6" s="5">
        <v>76.3</v>
      </c>
      <c r="I6" s="5">
        <v>87.7</v>
      </c>
      <c r="J6" s="4">
        <v>8.5</v>
      </c>
      <c r="K6" s="5">
        <v>8.5</v>
      </c>
      <c r="L6" s="6"/>
      <c r="M6" s="25"/>
    </row>
    <row r="7" spans="3:13" x14ac:dyDescent="0.3">
      <c r="C7" s="40" t="s">
        <v>48</v>
      </c>
      <c r="D7" s="27">
        <v>93.1</v>
      </c>
      <c r="E7" s="27">
        <v>56</v>
      </c>
      <c r="F7" s="27">
        <v>37.200000000000003</v>
      </c>
      <c r="G7" s="4">
        <v>89.7</v>
      </c>
      <c r="H7" s="5">
        <v>57.4</v>
      </c>
      <c r="I7" s="5">
        <v>32.200000000000003</v>
      </c>
      <c r="J7" s="4">
        <v>5.2</v>
      </c>
      <c r="K7" s="5">
        <v>4.9000000000000004</v>
      </c>
      <c r="L7" s="6">
        <f>J7-K7</f>
        <v>0.29999999999999982</v>
      </c>
      <c r="M7" s="25"/>
    </row>
    <row r="8" spans="3:13" x14ac:dyDescent="0.3">
      <c r="C8" s="40" t="s">
        <v>17</v>
      </c>
      <c r="D8" s="27">
        <v>85.8</v>
      </c>
      <c r="E8" s="27">
        <v>54.4</v>
      </c>
      <c r="F8" s="27">
        <v>31.4</v>
      </c>
      <c r="G8" s="4">
        <v>85.8</v>
      </c>
      <c r="H8" s="5">
        <v>54.4</v>
      </c>
      <c r="I8" s="5">
        <v>31.4</v>
      </c>
      <c r="J8" s="31"/>
      <c r="K8" s="5"/>
      <c r="L8" s="6"/>
      <c r="M8" s="25"/>
    </row>
    <row r="9" spans="3:13" x14ac:dyDescent="0.3">
      <c r="C9" s="40" t="s">
        <v>18</v>
      </c>
      <c r="D9" s="27">
        <v>84</v>
      </c>
      <c r="E9" s="27">
        <v>52.3</v>
      </c>
      <c r="F9" s="27">
        <v>31.7</v>
      </c>
      <c r="G9" s="4">
        <v>84</v>
      </c>
      <c r="H9" s="5">
        <v>52.3</v>
      </c>
      <c r="I9" s="5">
        <v>31.7</v>
      </c>
      <c r="J9" s="31"/>
      <c r="K9" s="5"/>
      <c r="L9" s="6"/>
      <c r="M9" s="25"/>
    </row>
    <row r="10" spans="3:13" x14ac:dyDescent="0.3">
      <c r="C10" s="40" t="s">
        <v>19</v>
      </c>
      <c r="D10" s="27">
        <v>74.5</v>
      </c>
      <c r="E10" s="27">
        <v>72</v>
      </c>
      <c r="F10" s="27">
        <f>D10-E10</f>
        <v>2.5</v>
      </c>
      <c r="G10" s="4">
        <v>73.8</v>
      </c>
      <c r="H10" s="5">
        <v>71.3</v>
      </c>
      <c r="I10" s="5">
        <f>G10-H10</f>
        <v>2.5</v>
      </c>
      <c r="J10" s="31"/>
      <c r="K10" s="5"/>
      <c r="L10" s="6"/>
      <c r="M10" s="25"/>
    </row>
    <row r="11" spans="3:13" x14ac:dyDescent="0.3">
      <c r="C11" s="40" t="s">
        <v>15</v>
      </c>
      <c r="D11" s="27">
        <v>57.2</v>
      </c>
      <c r="E11" s="27">
        <v>57.2</v>
      </c>
      <c r="F11" s="27"/>
      <c r="G11" s="4">
        <v>57.2</v>
      </c>
      <c r="H11" s="5">
        <v>57.2</v>
      </c>
      <c r="I11" s="5"/>
      <c r="J11" s="31"/>
      <c r="K11" s="5"/>
      <c r="L11" s="6"/>
      <c r="M11" s="25"/>
    </row>
    <row r="12" spans="3:13" x14ac:dyDescent="0.3">
      <c r="C12" s="40" t="s">
        <v>20</v>
      </c>
      <c r="D12" s="27">
        <v>49.7</v>
      </c>
      <c r="E12" s="27">
        <v>49.7</v>
      </c>
      <c r="F12" s="27"/>
      <c r="G12" s="4">
        <v>49.7</v>
      </c>
      <c r="H12" s="5">
        <v>49.7</v>
      </c>
      <c r="I12" s="5"/>
      <c r="J12" s="31"/>
      <c r="K12" s="5"/>
      <c r="L12" s="6"/>
      <c r="M12" s="25"/>
    </row>
    <row r="13" spans="3:13" x14ac:dyDescent="0.3">
      <c r="C13" s="40" t="s">
        <v>16</v>
      </c>
      <c r="D13" s="27">
        <v>47.2</v>
      </c>
      <c r="E13" s="27">
        <f>D13-F13</f>
        <v>2.8000000000000043</v>
      </c>
      <c r="F13" s="27">
        <v>44.4</v>
      </c>
      <c r="G13" s="4"/>
      <c r="H13" s="5"/>
      <c r="I13" s="5">
        <v>13.1</v>
      </c>
      <c r="J13" s="4">
        <v>30.5</v>
      </c>
      <c r="K13" s="5">
        <v>1.4</v>
      </c>
      <c r="L13" s="6">
        <v>29</v>
      </c>
      <c r="M13" s="25"/>
    </row>
    <row r="14" spans="3:13" x14ac:dyDescent="0.3">
      <c r="C14" s="40" t="s">
        <v>84</v>
      </c>
      <c r="D14" s="27">
        <v>46.6</v>
      </c>
      <c r="E14" s="27">
        <v>46.6</v>
      </c>
      <c r="F14" s="27"/>
      <c r="G14" s="4">
        <v>46.7</v>
      </c>
      <c r="H14" s="5">
        <v>46.7</v>
      </c>
      <c r="I14" s="5"/>
      <c r="J14" s="31"/>
      <c r="K14" s="5"/>
      <c r="L14" s="6"/>
      <c r="M14" s="25"/>
    </row>
    <row r="15" spans="3:13" x14ac:dyDescent="0.3">
      <c r="C15" s="40" t="s">
        <v>24</v>
      </c>
      <c r="D15" s="27">
        <v>39.299999999999997</v>
      </c>
      <c r="E15" s="27">
        <v>39.299999999999997</v>
      </c>
      <c r="F15" s="27"/>
      <c r="G15" s="4"/>
      <c r="H15" s="5"/>
      <c r="I15" s="5"/>
      <c r="J15" s="4">
        <v>39.299999999999997</v>
      </c>
      <c r="K15" s="5">
        <v>39.299999999999997</v>
      </c>
      <c r="L15" s="6"/>
      <c r="M15" s="25"/>
    </row>
    <row r="16" spans="3:13" x14ac:dyDescent="0.3">
      <c r="C16" s="40" t="s">
        <v>28</v>
      </c>
      <c r="D16" s="27">
        <v>34.700000000000003</v>
      </c>
      <c r="E16" s="27">
        <f>D16-F16</f>
        <v>25.000000000000004</v>
      </c>
      <c r="F16" s="27">
        <v>9.6999999999999993</v>
      </c>
      <c r="G16" s="4"/>
      <c r="H16" s="5"/>
      <c r="I16" s="5"/>
      <c r="J16" s="31"/>
      <c r="K16" s="5"/>
      <c r="L16" s="6"/>
      <c r="M16" s="25"/>
    </row>
    <row r="17" spans="3:13" x14ac:dyDescent="0.3">
      <c r="C17" s="40" t="s">
        <v>30</v>
      </c>
      <c r="D17" s="27">
        <v>34.700000000000003</v>
      </c>
      <c r="E17" s="27">
        <v>28.6</v>
      </c>
      <c r="F17" s="27">
        <v>6.1</v>
      </c>
      <c r="G17" s="4">
        <v>34.700000000000003</v>
      </c>
      <c r="H17" s="5">
        <v>28.6</v>
      </c>
      <c r="I17" s="5">
        <v>6.1</v>
      </c>
      <c r="J17" s="31"/>
      <c r="K17" s="5"/>
      <c r="L17" s="6"/>
      <c r="M17" s="25"/>
    </row>
    <row r="18" spans="3:13" x14ac:dyDescent="0.3">
      <c r="C18" s="40" t="s">
        <v>57</v>
      </c>
      <c r="D18" s="27"/>
      <c r="E18" s="27"/>
      <c r="F18" s="27"/>
      <c r="G18" s="4"/>
      <c r="H18" s="5"/>
      <c r="I18" s="5"/>
      <c r="J18" s="4">
        <v>34.700000000000003</v>
      </c>
      <c r="K18" s="5">
        <v>25</v>
      </c>
      <c r="L18" s="6">
        <v>9.6999999999999993</v>
      </c>
      <c r="M18" s="25"/>
    </row>
    <row r="19" spans="3:13" x14ac:dyDescent="0.3">
      <c r="C19" s="40" t="s">
        <v>26</v>
      </c>
      <c r="D19" s="27">
        <v>34.200000000000003</v>
      </c>
      <c r="E19" s="27">
        <v>34.200000000000003</v>
      </c>
      <c r="F19" s="27"/>
      <c r="G19" s="4">
        <v>34.299999999999997</v>
      </c>
      <c r="H19" s="5">
        <v>34.299999999999997</v>
      </c>
      <c r="I19" s="5"/>
      <c r="J19" s="31"/>
      <c r="K19" s="5"/>
      <c r="L19" s="6"/>
      <c r="M19" s="25"/>
    </row>
    <row r="20" spans="3:13" x14ac:dyDescent="0.3">
      <c r="C20" s="40" t="s">
        <v>49</v>
      </c>
      <c r="D20" s="27">
        <v>34.200000000000003</v>
      </c>
      <c r="E20" s="27">
        <v>34.1</v>
      </c>
      <c r="F20" s="27">
        <f>D20-E20</f>
        <v>0.10000000000000142</v>
      </c>
      <c r="G20" s="4">
        <v>30.7</v>
      </c>
      <c r="H20" s="5">
        <v>30.6</v>
      </c>
      <c r="I20" s="5">
        <f>G20-H20</f>
        <v>9.9999999999997868E-2</v>
      </c>
      <c r="J20" s="31"/>
      <c r="K20" s="5"/>
      <c r="L20" s="6"/>
      <c r="M20" s="25"/>
    </row>
    <row r="21" spans="3:13" x14ac:dyDescent="0.3">
      <c r="C21" s="40" t="s">
        <v>21</v>
      </c>
      <c r="D21" s="27">
        <v>33.799999999999997</v>
      </c>
      <c r="E21" s="27">
        <f>D21-F21</f>
        <v>4.7999999999999972</v>
      </c>
      <c r="F21" s="27">
        <v>29</v>
      </c>
      <c r="G21" s="4">
        <v>36.200000000000003</v>
      </c>
      <c r="H21" s="5">
        <f>G21-I21</f>
        <v>5.5000000000000036</v>
      </c>
      <c r="I21" s="5">
        <v>30.7</v>
      </c>
      <c r="J21" s="31"/>
      <c r="K21" s="5"/>
      <c r="L21" s="6"/>
      <c r="M21" s="25"/>
    </row>
    <row r="22" spans="3:13" x14ac:dyDescent="0.3">
      <c r="C22" s="40" t="s">
        <v>31</v>
      </c>
      <c r="D22" s="27">
        <v>33.4</v>
      </c>
      <c r="E22" s="27">
        <v>33.4</v>
      </c>
      <c r="F22" s="27"/>
      <c r="G22" s="4">
        <v>32.9</v>
      </c>
      <c r="H22" s="5">
        <v>32.9</v>
      </c>
      <c r="I22" s="5"/>
      <c r="J22" s="31"/>
      <c r="K22" s="5"/>
      <c r="L22" s="6"/>
      <c r="M22" s="25"/>
    </row>
    <row r="23" spans="3:13" x14ac:dyDescent="0.3">
      <c r="C23" s="40" t="s">
        <v>33</v>
      </c>
      <c r="D23" s="27">
        <v>33.200000000000003</v>
      </c>
      <c r="E23" s="27">
        <v>33.200000000000003</v>
      </c>
      <c r="F23" s="27"/>
      <c r="G23" s="4">
        <v>33.200000000000003</v>
      </c>
      <c r="H23" s="5">
        <v>33.200000000000003</v>
      </c>
      <c r="I23" s="5"/>
      <c r="J23" s="31"/>
      <c r="K23" s="5"/>
      <c r="L23" s="6"/>
      <c r="M23" s="25"/>
    </row>
    <row r="24" spans="3:13" ht="15" thickBot="1" x14ac:dyDescent="0.35">
      <c r="C24" s="15" t="s">
        <v>34</v>
      </c>
      <c r="D24" s="29">
        <v>33</v>
      </c>
      <c r="E24" s="29">
        <v>33</v>
      </c>
      <c r="F24" s="29"/>
      <c r="G24" s="8">
        <v>37.700000000000003</v>
      </c>
      <c r="H24" s="9">
        <v>37.700000000000003</v>
      </c>
      <c r="I24" s="9"/>
      <c r="J24" s="32"/>
      <c r="K24" s="9"/>
      <c r="L24" s="11"/>
      <c r="M24" s="25"/>
    </row>
    <row r="25" spans="3:13" x14ac:dyDescent="0.3">
      <c r="C25" s="40" t="s">
        <v>53</v>
      </c>
      <c r="D25" s="5"/>
      <c r="E25" s="27"/>
      <c r="F25" s="27"/>
      <c r="G25" s="4">
        <v>30.7</v>
      </c>
      <c r="H25" s="5">
        <v>26.9</v>
      </c>
      <c r="I25" s="5">
        <f t="shared" ref="I23:I27" si="0">G25-H25</f>
        <v>3.8000000000000007</v>
      </c>
      <c r="J25" s="31"/>
      <c r="K25" s="5"/>
      <c r="L25" s="6"/>
      <c r="M25" s="25"/>
    </row>
    <row r="26" spans="3:13" x14ac:dyDescent="0.3">
      <c r="C26" s="40" t="s">
        <v>37</v>
      </c>
      <c r="D26" s="5"/>
      <c r="E26" s="27">
        <v>27.4</v>
      </c>
      <c r="F26" s="27"/>
      <c r="G26" s="4">
        <v>27.3</v>
      </c>
      <c r="H26" s="5">
        <v>27.3</v>
      </c>
      <c r="I26" s="5"/>
      <c r="J26" s="31"/>
      <c r="K26" s="5"/>
      <c r="L26" s="6"/>
      <c r="M26" s="25"/>
    </row>
    <row r="27" spans="3:13" x14ac:dyDescent="0.3">
      <c r="C27" s="40" t="s">
        <v>39</v>
      </c>
      <c r="D27" s="27"/>
      <c r="E27" s="27">
        <v>27.3</v>
      </c>
      <c r="F27" s="27"/>
      <c r="G27" s="4">
        <v>27.2</v>
      </c>
      <c r="H27" s="5">
        <v>27.2</v>
      </c>
      <c r="I27" s="5"/>
      <c r="J27" s="31"/>
      <c r="K27" s="5"/>
      <c r="L27" s="6"/>
      <c r="M27" s="25"/>
    </row>
    <row r="28" spans="3:13" x14ac:dyDescent="0.3">
      <c r="C28" s="40" t="s">
        <v>40</v>
      </c>
      <c r="D28" s="27"/>
      <c r="E28" s="27">
        <v>26.2</v>
      </c>
      <c r="F28" s="27"/>
      <c r="G28" s="4"/>
      <c r="H28" s="5"/>
      <c r="I28" s="5"/>
      <c r="J28" s="31"/>
      <c r="K28" s="5"/>
      <c r="L28" s="6"/>
      <c r="M28" s="25"/>
    </row>
    <row r="29" spans="3:13" x14ac:dyDescent="0.3">
      <c r="C29" s="40" t="s">
        <v>55</v>
      </c>
      <c r="D29" s="27"/>
      <c r="E29" s="27"/>
      <c r="F29" s="27"/>
      <c r="G29" s="4"/>
      <c r="H29" s="5">
        <v>26.1</v>
      </c>
      <c r="I29" s="5"/>
      <c r="J29" s="31"/>
      <c r="K29" s="5"/>
      <c r="L29" s="6"/>
      <c r="M29" s="25"/>
    </row>
    <row r="30" spans="3:13" x14ac:dyDescent="0.3">
      <c r="C30" s="40" t="s">
        <v>22</v>
      </c>
      <c r="D30" s="27"/>
      <c r="E30" s="27"/>
      <c r="F30" s="27">
        <v>24.2</v>
      </c>
      <c r="G30" s="4"/>
      <c r="H30" s="5"/>
      <c r="I30" s="5">
        <v>21.5</v>
      </c>
      <c r="J30" s="31"/>
      <c r="K30" s="5"/>
      <c r="L30" s="6">
        <v>2</v>
      </c>
      <c r="M30" s="25"/>
    </row>
    <row r="31" spans="3:13" x14ac:dyDescent="0.3">
      <c r="C31" s="40" t="s">
        <v>23</v>
      </c>
      <c r="D31" s="27"/>
      <c r="E31" s="27"/>
      <c r="F31" s="27">
        <v>22.6</v>
      </c>
      <c r="G31" s="4"/>
      <c r="H31" s="5"/>
      <c r="I31" s="5">
        <v>20.6</v>
      </c>
      <c r="J31" s="31"/>
      <c r="K31" s="5"/>
      <c r="L31" s="6">
        <v>2</v>
      </c>
      <c r="M31" s="25"/>
    </row>
    <row r="32" spans="3:13" x14ac:dyDescent="0.3">
      <c r="C32" s="40" t="s">
        <v>88</v>
      </c>
      <c r="D32" s="27"/>
      <c r="E32" s="27"/>
      <c r="F32" s="27">
        <v>5.6</v>
      </c>
      <c r="G32" s="4"/>
      <c r="H32" s="5"/>
      <c r="I32" s="5"/>
      <c r="J32" s="4">
        <v>21.7</v>
      </c>
      <c r="K32" s="5">
        <v>16.2</v>
      </c>
      <c r="L32" s="6">
        <v>5.6</v>
      </c>
      <c r="M32" s="25"/>
    </row>
    <row r="33" spans="3:13" x14ac:dyDescent="0.3">
      <c r="C33" s="40" t="s">
        <v>25</v>
      </c>
      <c r="D33" s="27"/>
      <c r="E33" s="27"/>
      <c r="F33" s="27">
        <v>18.2</v>
      </c>
      <c r="G33" s="4"/>
      <c r="H33" s="5"/>
      <c r="I33" s="5">
        <v>18.100000000000001</v>
      </c>
      <c r="J33" s="31"/>
      <c r="K33" s="5"/>
      <c r="L33" s="6"/>
      <c r="M33" s="25"/>
    </row>
    <row r="34" spans="3:13" x14ac:dyDescent="0.3">
      <c r="C34" s="40" t="s">
        <v>27</v>
      </c>
      <c r="D34" s="27"/>
      <c r="E34" s="27"/>
      <c r="F34" s="27">
        <v>16.7</v>
      </c>
      <c r="G34" s="4"/>
      <c r="H34" s="5"/>
      <c r="I34" s="5">
        <v>16.7</v>
      </c>
      <c r="J34" s="31"/>
      <c r="K34" s="5"/>
      <c r="L34" s="6"/>
      <c r="M34" s="25"/>
    </row>
    <row r="35" spans="3:13" x14ac:dyDescent="0.3">
      <c r="C35" s="40" t="s">
        <v>29</v>
      </c>
      <c r="D35" s="27"/>
      <c r="E35" s="27"/>
      <c r="F35" s="27">
        <v>12.3</v>
      </c>
      <c r="G35" s="4"/>
      <c r="H35" s="5"/>
      <c r="I35" s="5">
        <v>7.4</v>
      </c>
      <c r="J35" s="4">
        <v>7.8</v>
      </c>
      <c r="K35" s="5">
        <v>2.8</v>
      </c>
      <c r="L35" s="6">
        <v>4.9000000000000004</v>
      </c>
      <c r="M35" s="25"/>
    </row>
    <row r="36" spans="3:13" x14ac:dyDescent="0.3">
      <c r="C36" s="40" t="s">
        <v>58</v>
      </c>
      <c r="D36" s="27"/>
      <c r="E36" s="27"/>
      <c r="F36" s="27"/>
      <c r="G36" s="4"/>
      <c r="H36" s="5"/>
      <c r="I36" s="5"/>
      <c r="J36" s="4">
        <v>13.1</v>
      </c>
      <c r="K36" s="5">
        <v>13.1</v>
      </c>
      <c r="L36" s="6"/>
      <c r="M36" s="25"/>
    </row>
    <row r="37" spans="3:13" x14ac:dyDescent="0.3">
      <c r="C37" s="40" t="s">
        <v>32</v>
      </c>
      <c r="D37" s="27"/>
      <c r="E37" s="27"/>
      <c r="F37" s="27">
        <v>10.1</v>
      </c>
      <c r="G37" s="4"/>
      <c r="H37" s="5"/>
      <c r="I37" s="5">
        <v>10.1</v>
      </c>
      <c r="J37" s="31"/>
      <c r="K37" s="5"/>
      <c r="L37" s="6"/>
      <c r="M37" s="25"/>
    </row>
    <row r="38" spans="3:13" x14ac:dyDescent="0.3">
      <c r="C38" s="40" t="s">
        <v>73</v>
      </c>
      <c r="D38" s="27"/>
      <c r="E38" s="27"/>
      <c r="F38" s="27"/>
      <c r="G38" s="4"/>
      <c r="H38" s="5"/>
      <c r="I38" s="5"/>
      <c r="J38" s="4">
        <v>9.8000000000000007</v>
      </c>
      <c r="K38" s="5">
        <v>9.8000000000000007</v>
      </c>
      <c r="L38" s="6"/>
      <c r="M38" s="25"/>
    </row>
    <row r="39" spans="3:13" x14ac:dyDescent="0.3">
      <c r="C39" s="40" t="s">
        <v>86</v>
      </c>
      <c r="D39" s="27"/>
      <c r="E39" s="27"/>
      <c r="F39" s="27">
        <v>8.8000000000000007</v>
      </c>
      <c r="G39" s="4"/>
      <c r="H39" s="5"/>
      <c r="I39" s="5"/>
      <c r="J39" s="31"/>
      <c r="K39" s="5"/>
      <c r="L39" s="6"/>
      <c r="M39" s="25"/>
    </row>
    <row r="40" spans="3:13" x14ac:dyDescent="0.3">
      <c r="C40" s="40" t="s">
        <v>59</v>
      </c>
      <c r="D40" s="27"/>
      <c r="E40" s="27"/>
      <c r="F40" s="27"/>
      <c r="G40" s="4"/>
      <c r="H40" s="5"/>
      <c r="I40" s="5"/>
      <c r="J40" s="4">
        <v>8.5</v>
      </c>
      <c r="K40" s="5">
        <v>8.5</v>
      </c>
      <c r="L40" s="6"/>
      <c r="M40" s="25"/>
    </row>
    <row r="41" spans="3:13" x14ac:dyDescent="0.3">
      <c r="C41" s="40" t="s">
        <v>36</v>
      </c>
      <c r="D41" s="27"/>
      <c r="E41" s="27"/>
      <c r="F41" s="27">
        <v>8.3000000000000007</v>
      </c>
      <c r="G41" s="4"/>
      <c r="H41" s="5"/>
      <c r="I41" s="5">
        <v>8.3000000000000007</v>
      </c>
      <c r="J41" s="31"/>
      <c r="K41" s="5"/>
      <c r="L41" s="6"/>
      <c r="M41" s="25"/>
    </row>
    <row r="42" spans="3:13" x14ac:dyDescent="0.3">
      <c r="C42" s="40" t="s">
        <v>61</v>
      </c>
      <c r="D42" s="27"/>
      <c r="E42" s="27"/>
      <c r="F42" s="27"/>
      <c r="G42" s="4"/>
      <c r="H42" s="5"/>
      <c r="I42" s="5"/>
      <c r="J42" s="4">
        <v>7.7</v>
      </c>
      <c r="K42" s="5">
        <v>7.7</v>
      </c>
      <c r="L42" s="6"/>
      <c r="M42" s="25"/>
    </row>
    <row r="43" spans="3:13" x14ac:dyDescent="0.3">
      <c r="C43" s="40" t="s">
        <v>85</v>
      </c>
      <c r="D43" s="27"/>
      <c r="E43" s="27"/>
      <c r="F43" s="27"/>
      <c r="G43" s="4"/>
      <c r="H43" s="5"/>
      <c r="I43" s="5">
        <v>7.4</v>
      </c>
      <c r="J43" s="31"/>
      <c r="K43" s="5"/>
      <c r="L43" s="6"/>
      <c r="M43" s="25"/>
    </row>
    <row r="44" spans="3:13" x14ac:dyDescent="0.3">
      <c r="C44" s="40" t="s">
        <v>62</v>
      </c>
      <c r="D44" s="27"/>
      <c r="E44" s="27"/>
      <c r="F44" s="27"/>
      <c r="G44" s="4"/>
      <c r="H44" s="5"/>
      <c r="I44" s="5"/>
      <c r="J44" s="4">
        <v>6.9</v>
      </c>
      <c r="K44" s="5">
        <v>6.9</v>
      </c>
      <c r="L44" s="6"/>
      <c r="M44" s="25"/>
    </row>
    <row r="45" spans="3:13" x14ac:dyDescent="0.3">
      <c r="C45" s="40" t="s">
        <v>38</v>
      </c>
      <c r="D45" s="27"/>
      <c r="E45" s="27"/>
      <c r="F45" s="27">
        <v>6.5</v>
      </c>
      <c r="G45" s="4"/>
      <c r="H45" s="5"/>
      <c r="I45" s="5">
        <v>6.5</v>
      </c>
      <c r="J45" s="31"/>
      <c r="K45" s="5"/>
      <c r="L45" s="6"/>
      <c r="M45" s="25"/>
    </row>
    <row r="46" spans="3:13" x14ac:dyDescent="0.3">
      <c r="C46" s="40" t="s">
        <v>75</v>
      </c>
      <c r="D46" s="27"/>
      <c r="E46" s="27"/>
      <c r="F46" s="27"/>
      <c r="G46" s="4"/>
      <c r="H46" s="5"/>
      <c r="I46" s="5"/>
      <c r="J46" s="4">
        <v>5.9</v>
      </c>
      <c r="K46" s="5">
        <v>5.9</v>
      </c>
      <c r="L46" s="6"/>
      <c r="M46" s="25"/>
    </row>
    <row r="47" spans="3:13" x14ac:dyDescent="0.3">
      <c r="C47" s="40" t="s">
        <v>54</v>
      </c>
      <c r="D47" s="27"/>
      <c r="E47" s="27"/>
      <c r="F47" s="27"/>
      <c r="G47" s="4"/>
      <c r="H47" s="5"/>
      <c r="I47" s="5">
        <v>5.0999999999999996</v>
      </c>
      <c r="J47" s="31"/>
      <c r="K47" s="5"/>
      <c r="L47" s="6"/>
      <c r="M47" s="25"/>
    </row>
    <row r="48" spans="3:13" x14ac:dyDescent="0.3">
      <c r="C48" s="40" t="s">
        <v>60</v>
      </c>
      <c r="D48" s="27"/>
      <c r="E48" s="27"/>
      <c r="F48" s="27"/>
      <c r="G48" s="4"/>
      <c r="H48" s="5"/>
      <c r="I48" s="5"/>
      <c r="J48" s="4">
        <v>5.0999999999999996</v>
      </c>
      <c r="K48" s="5">
        <f>J48-L48</f>
        <v>1.2999999999999998</v>
      </c>
      <c r="L48" s="6">
        <v>3.8</v>
      </c>
      <c r="M48" s="25"/>
    </row>
    <row r="49" spans="3:13" x14ac:dyDescent="0.3">
      <c r="C49" s="40" t="s">
        <v>56</v>
      </c>
      <c r="D49" s="27"/>
      <c r="E49" s="27"/>
      <c r="F49" s="27"/>
      <c r="G49" s="4"/>
      <c r="H49" s="5"/>
      <c r="I49" s="5">
        <v>5</v>
      </c>
      <c r="J49" s="31"/>
      <c r="K49" s="5"/>
      <c r="L49" s="6"/>
      <c r="M49" s="25"/>
    </row>
    <row r="50" spans="3:13" x14ac:dyDescent="0.3">
      <c r="C50" s="40" t="s">
        <v>77</v>
      </c>
      <c r="D50" s="27"/>
      <c r="E50" s="27"/>
      <c r="F50" s="28"/>
      <c r="G50" s="4"/>
      <c r="H50" s="5"/>
      <c r="I50" s="6"/>
      <c r="J50" s="4">
        <v>4</v>
      </c>
      <c r="K50" s="5">
        <v>4</v>
      </c>
      <c r="L50" s="6"/>
      <c r="M50" s="25"/>
    </row>
    <row r="51" spans="3:13" x14ac:dyDescent="0.3">
      <c r="C51" s="40" t="s">
        <v>74</v>
      </c>
      <c r="D51" s="27"/>
      <c r="E51" s="27"/>
      <c r="F51" s="28"/>
      <c r="G51" s="4"/>
      <c r="H51" s="5"/>
      <c r="I51" s="6"/>
      <c r="J51" s="4">
        <v>3.7</v>
      </c>
      <c r="K51" s="5">
        <f>J51-L51</f>
        <v>0</v>
      </c>
      <c r="L51" s="6">
        <v>3.7</v>
      </c>
      <c r="M51" s="25"/>
    </row>
    <row r="52" spans="3:13" x14ac:dyDescent="0.3">
      <c r="C52" s="40" t="s">
        <v>79</v>
      </c>
      <c r="D52" s="27"/>
      <c r="E52" s="27"/>
      <c r="F52" s="28"/>
      <c r="G52" s="4"/>
      <c r="H52" s="5"/>
      <c r="I52" s="6"/>
      <c r="J52" s="4">
        <v>3.4</v>
      </c>
      <c r="K52" s="5">
        <v>3.4</v>
      </c>
      <c r="L52" s="6"/>
      <c r="M52" s="25"/>
    </row>
    <row r="53" spans="3:13" x14ac:dyDescent="0.3">
      <c r="C53" s="40" t="s">
        <v>65</v>
      </c>
      <c r="D53" s="27"/>
      <c r="E53" s="27"/>
      <c r="F53" s="28"/>
      <c r="G53" s="4"/>
      <c r="H53" s="5"/>
      <c r="I53" s="6"/>
      <c r="J53" s="4">
        <v>2.7</v>
      </c>
      <c r="K53" s="5">
        <v>2.7</v>
      </c>
      <c r="L53" s="6"/>
      <c r="M53" s="25"/>
    </row>
    <row r="54" spans="3:13" x14ac:dyDescent="0.3">
      <c r="C54" s="40" t="s">
        <v>76</v>
      </c>
      <c r="D54" s="27"/>
      <c r="E54" s="27"/>
      <c r="F54" s="28"/>
      <c r="G54" s="4"/>
      <c r="H54" s="5"/>
      <c r="I54" s="6"/>
      <c r="J54" s="4">
        <v>2.5</v>
      </c>
      <c r="K54" s="5">
        <f>J54-L54</f>
        <v>0.89999999999999991</v>
      </c>
      <c r="L54" s="6">
        <v>1.6</v>
      </c>
      <c r="M54" s="25"/>
    </row>
    <row r="55" spans="3:13" x14ac:dyDescent="0.3">
      <c r="C55" s="40" t="s">
        <v>82</v>
      </c>
      <c r="D55" s="27"/>
      <c r="E55" s="27"/>
      <c r="F55" s="28"/>
      <c r="G55" s="4"/>
      <c r="H55" s="5"/>
      <c r="I55" s="6"/>
      <c r="J55" s="4"/>
      <c r="K55" s="5">
        <v>2.2999999999999998</v>
      </c>
      <c r="L55" s="6"/>
      <c r="M55" s="25"/>
    </row>
    <row r="56" spans="3:13" x14ac:dyDescent="0.3">
      <c r="C56" s="40" t="s">
        <v>67</v>
      </c>
      <c r="D56" s="27"/>
      <c r="E56" s="27"/>
      <c r="F56" s="28"/>
      <c r="G56" s="4"/>
      <c r="H56" s="5"/>
      <c r="I56" s="6"/>
      <c r="J56" s="4"/>
      <c r="K56" s="5">
        <v>2.1</v>
      </c>
      <c r="L56" s="6"/>
      <c r="M56" s="25"/>
    </row>
    <row r="57" spans="3:13" x14ac:dyDescent="0.3">
      <c r="C57" s="40" t="s">
        <v>83</v>
      </c>
      <c r="D57" s="27"/>
      <c r="E57" s="27"/>
      <c r="F57" s="28"/>
      <c r="G57" s="4"/>
      <c r="H57" s="5"/>
      <c r="I57" s="6"/>
      <c r="J57" s="4"/>
      <c r="K57" s="5">
        <v>1.6</v>
      </c>
      <c r="L57" s="6"/>
      <c r="M57" s="25"/>
    </row>
    <row r="58" spans="3:13" x14ac:dyDescent="0.3">
      <c r="C58" s="40" t="s">
        <v>70</v>
      </c>
      <c r="D58" s="27"/>
      <c r="E58" s="27"/>
      <c r="F58" s="28"/>
      <c r="G58" s="4"/>
      <c r="H58" s="5"/>
      <c r="I58" s="6"/>
      <c r="J58" s="4"/>
      <c r="K58" s="5">
        <v>1.6</v>
      </c>
      <c r="L58" s="6"/>
      <c r="M58" s="25"/>
    </row>
    <row r="59" spans="3:13" x14ac:dyDescent="0.3">
      <c r="C59" s="40" t="s">
        <v>78</v>
      </c>
      <c r="D59" s="27"/>
      <c r="E59" s="27"/>
      <c r="F59" s="28"/>
      <c r="G59" s="4"/>
      <c r="H59" s="5"/>
      <c r="I59" s="6"/>
      <c r="J59" s="4"/>
      <c r="K59" s="5"/>
      <c r="L59" s="6">
        <v>1.5</v>
      </c>
      <c r="M59" s="25"/>
    </row>
    <row r="60" spans="3:13" x14ac:dyDescent="0.3">
      <c r="C60" s="40" t="s">
        <v>64</v>
      </c>
      <c r="D60" s="27"/>
      <c r="E60" s="27"/>
      <c r="F60" s="28"/>
      <c r="G60" s="4"/>
      <c r="H60" s="5"/>
      <c r="I60" s="6"/>
      <c r="J60" s="4"/>
      <c r="K60" s="5"/>
      <c r="L60" s="6">
        <v>0.9</v>
      </c>
      <c r="M60" s="25"/>
    </row>
    <row r="61" spans="3:13" x14ac:dyDescent="0.3">
      <c r="C61" s="40" t="s">
        <v>80</v>
      </c>
      <c r="D61" s="27"/>
      <c r="E61" s="27"/>
      <c r="F61" s="28"/>
      <c r="G61" s="4"/>
      <c r="H61" s="5"/>
      <c r="I61" s="6"/>
      <c r="J61" s="4"/>
      <c r="K61" s="5"/>
      <c r="L61" s="6">
        <v>0.8</v>
      </c>
      <c r="M61" s="25"/>
    </row>
    <row r="62" spans="3:13" x14ac:dyDescent="0.3">
      <c r="C62" s="40" t="s">
        <v>81</v>
      </c>
      <c r="D62" s="27"/>
      <c r="E62" s="27"/>
      <c r="F62" s="28"/>
      <c r="G62" s="4"/>
      <c r="H62" s="5"/>
      <c r="I62" s="6"/>
      <c r="J62" s="4"/>
      <c r="K62" s="5"/>
      <c r="L62" s="6">
        <v>0.8</v>
      </c>
      <c r="M62" s="25"/>
    </row>
    <row r="63" spans="3:13" x14ac:dyDescent="0.3">
      <c r="C63" s="40" t="s">
        <v>66</v>
      </c>
      <c r="D63" s="27"/>
      <c r="E63" s="27"/>
      <c r="F63" s="28"/>
      <c r="G63" s="4"/>
      <c r="H63" s="5"/>
      <c r="I63" s="6"/>
      <c r="J63" s="4"/>
      <c r="K63" s="5"/>
      <c r="L63" s="6">
        <v>0.6</v>
      </c>
      <c r="M63" s="25"/>
    </row>
    <row r="64" spans="3:13" x14ac:dyDescent="0.3">
      <c r="C64" s="40" t="s">
        <v>68</v>
      </c>
      <c r="D64" s="27"/>
      <c r="E64" s="27"/>
      <c r="F64" s="28"/>
      <c r="G64" s="4"/>
      <c r="H64" s="5"/>
      <c r="I64" s="6"/>
      <c r="J64" s="4"/>
      <c r="K64" s="5"/>
      <c r="L64" s="6">
        <v>0.5</v>
      </c>
      <c r="M64" s="25"/>
    </row>
    <row r="65" spans="3:13" x14ac:dyDescent="0.3">
      <c r="C65" s="40" t="s">
        <v>69</v>
      </c>
      <c r="D65" s="27"/>
      <c r="E65" s="27"/>
      <c r="F65" s="28"/>
      <c r="G65" s="4"/>
      <c r="H65" s="5"/>
      <c r="I65" s="6"/>
      <c r="J65" s="4"/>
      <c r="K65" s="5"/>
      <c r="L65" s="6">
        <v>0.4</v>
      </c>
      <c r="M65" s="25"/>
    </row>
    <row r="66" spans="3:13" x14ac:dyDescent="0.3">
      <c r="C66" s="40" t="s">
        <v>71</v>
      </c>
      <c r="D66" s="27"/>
      <c r="E66" s="27"/>
      <c r="F66" s="28"/>
      <c r="G66" s="4"/>
      <c r="H66" s="5"/>
      <c r="I66" s="6"/>
      <c r="J66" s="4"/>
      <c r="K66" s="5"/>
      <c r="L66" s="6">
        <v>0.3</v>
      </c>
      <c r="M66" s="25"/>
    </row>
    <row r="67" spans="3:13" ht="15" thickBot="1" x14ac:dyDescent="0.35">
      <c r="C67" s="15" t="s">
        <v>72</v>
      </c>
      <c r="D67" s="29"/>
      <c r="E67" s="29"/>
      <c r="F67" s="30"/>
      <c r="G67" s="8"/>
      <c r="H67" s="9"/>
      <c r="I67" s="11"/>
      <c r="J67" s="8"/>
      <c r="K67" s="9"/>
      <c r="L67" s="11">
        <v>0.3</v>
      </c>
      <c r="M67" s="25"/>
    </row>
    <row r="68" spans="3:13" ht="15" thickBot="1" x14ac:dyDescent="0.35">
      <c r="C68" s="39" t="s">
        <v>7</v>
      </c>
      <c r="D68" s="33">
        <f>SUM(D4:D67)</f>
        <v>1492.4</v>
      </c>
      <c r="E68" s="33">
        <f t="shared" ref="E68:L68" si="1">SUM(E4:E67)</f>
        <v>934.4</v>
      </c>
      <c r="F68" s="34">
        <f t="shared" si="1"/>
        <v>772.30000000000018</v>
      </c>
      <c r="G68" s="35">
        <f t="shared" si="1"/>
        <v>1396.8000000000004</v>
      </c>
      <c r="H68" s="33">
        <f t="shared" si="1"/>
        <v>882.70000000000016</v>
      </c>
      <c r="I68" s="34">
        <f t="shared" si="1"/>
        <v>679.80000000000007</v>
      </c>
      <c r="J68" s="33">
        <f t="shared" si="1"/>
        <v>280.19999999999993</v>
      </c>
      <c r="K68" s="33">
        <f t="shared" si="1"/>
        <v>175.4</v>
      </c>
      <c r="L68" s="34">
        <f t="shared" si="1"/>
        <v>122.39999999999999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Global AUM</vt:lpstr>
      <vt:lpstr>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2024-04-19T23:59:08Z</dcterms:modified>
</cp:coreProperties>
</file>