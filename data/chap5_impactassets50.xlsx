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5. Impact Investing\Data\"/>
    </mc:Choice>
  </mc:AlternateContent>
  <xr:revisionPtr revIDLastSave="0" documentId="13_ncr:1_{FDCC4016-526A-4590-AD38-79ADF610BBBA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2011" sheetId="1" r:id="rId1"/>
    <sheet name="Asset Class" sheetId="3" r:id="rId2"/>
    <sheet name="Asset Class (in %)" sheetId="4" r:id="rId3"/>
    <sheet name="Table" sheetId="5" r:id="rId4"/>
  </sheets>
  <definedNames>
    <definedName name="_xlnm._FilterDatabase" localSheetId="3" hidden="1">Table!$A$1:$I$51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5" l="1"/>
  <c r="H52" i="5"/>
  <c r="G52" i="5"/>
  <c r="F52" i="5"/>
  <c r="E52" i="5"/>
  <c r="C52" i="5"/>
  <c r="D52" i="5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9" i="4"/>
  <c r="N19" i="4" s="1"/>
  <c r="M9" i="4"/>
  <c r="M19" i="4" s="1"/>
  <c r="L9" i="4"/>
  <c r="L19" i="4" s="1"/>
  <c r="K9" i="4"/>
  <c r="K19" i="4" s="1"/>
  <c r="J9" i="4"/>
  <c r="J19" i="4" s="1"/>
  <c r="I9" i="4"/>
  <c r="I19" i="4" s="1"/>
  <c r="H9" i="4"/>
  <c r="H19" i="4" s="1"/>
  <c r="G9" i="4"/>
  <c r="G23" i="4" s="1"/>
  <c r="F9" i="4"/>
  <c r="F19" i="4" s="1"/>
  <c r="E9" i="4"/>
  <c r="E19" i="4" s="1"/>
  <c r="D9" i="4"/>
  <c r="D19" i="4" s="1"/>
  <c r="C9" i="4"/>
  <c r="C19" i="4" s="1"/>
  <c r="B9" i="4"/>
  <c r="B19" i="4" s="1"/>
  <c r="N9" i="3"/>
  <c r="M9" i="3"/>
  <c r="L9" i="3"/>
  <c r="K9" i="3"/>
  <c r="J9" i="3"/>
  <c r="I9" i="3"/>
  <c r="H9" i="3"/>
  <c r="G9" i="3"/>
  <c r="F9" i="3"/>
  <c r="E9" i="3"/>
  <c r="D9" i="3"/>
  <c r="C9" i="3"/>
  <c r="B9" i="3"/>
  <c r="G19" i="4" l="1"/>
  <c r="B22" i="4"/>
  <c r="J22" i="4"/>
  <c r="B23" i="4"/>
  <c r="L21" i="4"/>
  <c r="H23" i="4"/>
  <c r="J23" i="4"/>
  <c r="F22" i="4"/>
  <c r="B21" i="4"/>
  <c r="B24" i="4" s="1"/>
  <c r="C23" i="4"/>
  <c r="K23" i="4"/>
  <c r="G22" i="4"/>
  <c r="C22" i="4"/>
  <c r="K22" i="4"/>
  <c r="C21" i="4"/>
  <c r="K21" i="4"/>
  <c r="I23" i="4"/>
  <c r="D23" i="4"/>
  <c r="L23" i="4"/>
  <c r="H22" i="4"/>
  <c r="E23" i="4"/>
  <c r="M23" i="4"/>
  <c r="E22" i="4"/>
  <c r="M22" i="4"/>
  <c r="E21" i="4"/>
  <c r="M21" i="4"/>
  <c r="F23" i="4"/>
  <c r="N23" i="4"/>
  <c r="J21" i="4"/>
  <c r="K24" i="4" l="1"/>
  <c r="C24" i="4"/>
  <c r="M24" i="4"/>
  <c r="J24" i="4"/>
  <c r="E24" i="4"/>
  <c r="N21" i="4"/>
  <c r="I22" i="4"/>
  <c r="I24" i="4" s="1"/>
  <c r="F21" i="4"/>
  <c r="F24" i="4" s="1"/>
  <c r="G21" i="4"/>
  <c r="G24" i="4" s="1"/>
  <c r="L22" i="4"/>
  <c r="L24" i="4" s="1"/>
  <c r="D21" i="4"/>
  <c r="I21" i="4"/>
  <c r="D22" i="4"/>
  <c r="D24" i="4" s="1"/>
  <c r="H21" i="4"/>
  <c r="H24" i="4" s="1"/>
  <c r="N22" i="4"/>
  <c r="N24" i="4" s="1"/>
</calcChain>
</file>

<file path=xl/sharedStrings.xml><?xml version="1.0" encoding="utf-8"?>
<sst xmlns="http://schemas.openxmlformats.org/spreadsheetml/2006/main" count="240" uniqueCount="68">
  <si>
    <t>Absolute Portfolio Management</t>
  </si>
  <si>
    <t>Accion</t>
  </si>
  <si>
    <t>Acumen Capital Partners LLC</t>
  </si>
  <si>
    <t>Bamboo Finance</t>
  </si>
  <si>
    <t>Beartooth Capital</t>
  </si>
  <si>
    <t>BAML Capital Access Funds Management, LLC</t>
  </si>
  <si>
    <t>BlueOrchard Finance Ltd</t>
  </si>
  <si>
    <t>Bridges Fund Management Ltd</t>
  </si>
  <si>
    <t>Private Equity</t>
  </si>
  <si>
    <t>Private Debt - Absolute Return / Notes, Private Equity</t>
  </si>
  <si>
    <t>Real Estate</t>
  </si>
  <si>
    <t>Public Debt</t>
  </si>
  <si>
    <t>Calvert Impact</t>
  </si>
  <si>
    <t>Private Debt - Absolute Return / Notes</t>
  </si>
  <si>
    <t>City Light Capital</t>
  </si>
  <si>
    <t>Community Investment Partners</t>
  </si>
  <si>
    <t>Core Innovation Capital</t>
  </si>
  <si>
    <t>Creation Investments Capital Management, LLC</t>
  </si>
  <si>
    <t>Developing World Markets</t>
  </si>
  <si>
    <t>E+Co</t>
  </si>
  <si>
    <t>EcoEnterprises Fund</t>
  </si>
  <si>
    <t>EKO Asset Management Partners, LLC</t>
  </si>
  <si>
    <t>Elevar Equity</t>
  </si>
  <si>
    <t>EnerTech Capital</t>
  </si>
  <si>
    <t>Equator Capital Partners</t>
  </si>
  <si>
    <t>Global Partnerships</t>
  </si>
  <si>
    <t>Good Capital</t>
  </si>
  <si>
    <t>Grassroots Capital Management Corp, PBC</t>
  </si>
  <si>
    <t>Habitat for Humanity International</t>
  </si>
  <si>
    <t>IGNIA</t>
  </si>
  <si>
    <t>Incofin Investment Management</t>
  </si>
  <si>
    <t>LeapFrog Investments</t>
  </si>
  <si>
    <t>Living Cities Inc.</t>
  </si>
  <si>
    <t>Lumni</t>
  </si>
  <si>
    <t>The Lyme Timber Company LLC</t>
  </si>
  <si>
    <t>Media Development Investment Fund, Inc.</t>
  </si>
  <si>
    <t>MicroVest Capital Management, LLC</t>
  </si>
  <si>
    <t>Mindful Investors</t>
  </si>
  <si>
    <t>Minlam Asset Management</t>
  </si>
  <si>
    <t>Murex Investments</t>
  </si>
  <si>
    <t>Nonprofit Finance Fund</t>
  </si>
  <si>
    <t>Pacific Community Ventures</t>
  </si>
  <si>
    <t>Partners for the Common Good</t>
  </si>
  <si>
    <t>Public Radio Capital</t>
  </si>
  <si>
    <t>Renewal2</t>
  </si>
  <si>
    <t>Root Capital</t>
  </si>
  <si>
    <t>RSF Social Finance</t>
  </si>
  <si>
    <t>Cash / Cash Alternatives, Private Debt - Absolute Return / Notes</t>
  </si>
  <si>
    <t>Sarona Asset Management</t>
  </si>
  <si>
    <t>Satori Capital</t>
  </si>
  <si>
    <t>Shared Interest</t>
  </si>
  <si>
    <t>SJF Ventures</t>
  </si>
  <si>
    <t>Small Enterprise Assistance Funds</t>
  </si>
  <si>
    <t>SustainVC</t>
  </si>
  <si>
    <t>Symbiotics SA</t>
  </si>
  <si>
    <t>Triodos Investment Management</t>
  </si>
  <si>
    <t>Cash / Cash Alternatives</t>
  </si>
  <si>
    <t>Commodities</t>
  </si>
  <si>
    <t>Public Equity</t>
  </si>
  <si>
    <t>Total</t>
  </si>
  <si>
    <t>Asset Class</t>
  </si>
  <si>
    <t>Listed assets</t>
  </si>
  <si>
    <t>Private assets</t>
  </si>
  <si>
    <t>Fund</t>
  </si>
  <si>
    <t>Private Debt, Private Equity</t>
  </si>
  <si>
    <t>Private Debt</t>
  </si>
  <si>
    <t>Cash / Cash Alternatives, Private Debt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</si>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</sst>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0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0" fontId="0" fillId="0" borderId="1" xfId="1" applyNumberFormat="1" applyFont="1" applyBorder="1"/>
    <xf numFmtId="10" fontId="0" fillId="0" borderId="2" xfId="1" applyNumberFormat="1" applyFont="1" applyBorder="1"/>
    <xf numFmtId="10" fontId="0" fillId="0" borderId="0" xfId="1" applyNumberFormat="1" applyFont="1" applyBorder="1"/>
    <xf numFmtId="10" fontId="0" fillId="0" borderId="3" xfId="1" applyNumberFormat="1" applyFont="1" applyBorder="1"/>
    <xf numFmtId="10" fontId="0" fillId="0" borderId="4" xfId="1" applyNumberFormat="1" applyFont="1" applyBorder="1"/>
    <xf numFmtId="10" fontId="0" fillId="0" borderId="5" xfId="1" applyNumberFormat="1" applyFont="1" applyBorder="1"/>
    <xf numFmtId="10" fontId="0" fillId="0" borderId="1" xfId="0" applyNumberFormat="1" applyBorder="1"/>
    <xf numFmtId="10" fontId="0" fillId="0" borderId="2" xfId="0" applyNumberFormat="1" applyBorder="1"/>
    <xf numFmtId="10" fontId="0" fillId="0" borderId="0" xfId="0" applyNumberFormat="1"/>
    <xf numFmtId="10" fontId="0" fillId="0" borderId="3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workbookViewId="0">
      <selection sqref="A1:B1048576"/>
    </sheetView>
  </sheetViews>
  <sheetFormatPr baseColWidth="10" defaultColWidth="8.88671875" defaultRowHeight="14.4" x14ac:dyDescent="0.3"/>
  <cols>
    <col min="1" max="1" width="39.21875" customWidth="1"/>
  </cols>
  <sheetData>
    <row r="1" spans="1:2" x14ac:dyDescent="0.3">
      <c r="A1" t="s">
        <v>0</v>
      </c>
      <c r="B1" t="s">
        <v>11</v>
      </c>
    </row>
    <row r="2" spans="1:2" x14ac:dyDescent="0.3">
      <c r="A2" t="s">
        <v>1</v>
      </c>
      <c r="B2" t="s">
        <v>8</v>
      </c>
    </row>
    <row r="3" spans="1:2" x14ac:dyDescent="0.3">
      <c r="A3" t="s">
        <v>2</v>
      </c>
      <c r="B3" t="s">
        <v>8</v>
      </c>
    </row>
    <row r="4" spans="1:2" x14ac:dyDescent="0.3">
      <c r="A4" t="s">
        <v>3</v>
      </c>
      <c r="B4" t="s">
        <v>9</v>
      </c>
    </row>
    <row r="5" spans="1:2" x14ac:dyDescent="0.3">
      <c r="A5" t="s">
        <v>5</v>
      </c>
      <c r="B5" t="s">
        <v>8</v>
      </c>
    </row>
    <row r="6" spans="1:2" x14ac:dyDescent="0.3">
      <c r="A6" t="s">
        <v>4</v>
      </c>
      <c r="B6" t="s">
        <v>10</v>
      </c>
    </row>
    <row r="7" spans="1:2" x14ac:dyDescent="0.3">
      <c r="A7" t="s">
        <v>6</v>
      </c>
      <c r="B7" t="s">
        <v>9</v>
      </c>
    </row>
    <row r="8" spans="1:2" x14ac:dyDescent="0.3">
      <c r="A8" t="s">
        <v>7</v>
      </c>
      <c r="B8" t="s">
        <v>8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8</v>
      </c>
    </row>
    <row r="11" spans="1:2" x14ac:dyDescent="0.3">
      <c r="A11" t="s">
        <v>15</v>
      </c>
      <c r="B11" t="s">
        <v>11</v>
      </c>
    </row>
    <row r="12" spans="1:2" x14ac:dyDescent="0.3">
      <c r="A12" t="s">
        <v>16</v>
      </c>
      <c r="B12" t="s">
        <v>8</v>
      </c>
    </row>
    <row r="13" spans="1:2" x14ac:dyDescent="0.3">
      <c r="A13" t="s">
        <v>17</v>
      </c>
      <c r="B13" t="s">
        <v>8</v>
      </c>
    </row>
    <row r="14" spans="1:2" x14ac:dyDescent="0.3">
      <c r="A14" t="s">
        <v>18</v>
      </c>
      <c r="B14" t="s">
        <v>9</v>
      </c>
    </row>
    <row r="15" spans="1:2" x14ac:dyDescent="0.3">
      <c r="A15" t="s">
        <v>19</v>
      </c>
      <c r="B15" t="s">
        <v>9</v>
      </c>
    </row>
    <row r="16" spans="1:2" x14ac:dyDescent="0.3">
      <c r="A16" t="s">
        <v>20</v>
      </c>
      <c r="B16" t="s">
        <v>9</v>
      </c>
    </row>
    <row r="17" spans="1:2" x14ac:dyDescent="0.3">
      <c r="A17" t="s">
        <v>21</v>
      </c>
      <c r="B17" t="s">
        <v>8</v>
      </c>
    </row>
    <row r="18" spans="1:2" x14ac:dyDescent="0.3">
      <c r="A18" t="s">
        <v>22</v>
      </c>
      <c r="B18" t="s">
        <v>8</v>
      </c>
    </row>
    <row r="19" spans="1:2" x14ac:dyDescent="0.3">
      <c r="A19" t="s">
        <v>23</v>
      </c>
      <c r="B19" t="s">
        <v>8</v>
      </c>
    </row>
    <row r="20" spans="1:2" x14ac:dyDescent="0.3">
      <c r="A20" t="s">
        <v>24</v>
      </c>
      <c r="B20" t="s">
        <v>8</v>
      </c>
    </row>
    <row r="21" spans="1:2" x14ac:dyDescent="0.3">
      <c r="A21" t="s">
        <v>25</v>
      </c>
      <c r="B21" t="s">
        <v>13</v>
      </c>
    </row>
    <row r="22" spans="1:2" x14ac:dyDescent="0.3">
      <c r="A22" t="s">
        <v>26</v>
      </c>
      <c r="B22" t="s">
        <v>9</v>
      </c>
    </row>
    <row r="23" spans="1:2" x14ac:dyDescent="0.3">
      <c r="A23" t="s">
        <v>27</v>
      </c>
      <c r="B23" t="s">
        <v>9</v>
      </c>
    </row>
    <row r="24" spans="1:2" x14ac:dyDescent="0.3">
      <c r="A24" t="s">
        <v>28</v>
      </c>
      <c r="B24" t="s">
        <v>13</v>
      </c>
    </row>
    <row r="25" spans="1:2" x14ac:dyDescent="0.3">
      <c r="A25" t="s">
        <v>29</v>
      </c>
      <c r="B25" t="s">
        <v>8</v>
      </c>
    </row>
    <row r="26" spans="1:2" x14ac:dyDescent="0.3">
      <c r="A26" t="s">
        <v>30</v>
      </c>
      <c r="B26" t="s">
        <v>9</v>
      </c>
    </row>
    <row r="27" spans="1:2" x14ac:dyDescent="0.3">
      <c r="A27" t="s">
        <v>31</v>
      </c>
      <c r="B27" t="s">
        <v>8</v>
      </c>
    </row>
    <row r="28" spans="1:2" x14ac:dyDescent="0.3">
      <c r="A28" t="s">
        <v>32</v>
      </c>
      <c r="B28" t="s">
        <v>13</v>
      </c>
    </row>
    <row r="29" spans="1:2" x14ac:dyDescent="0.3">
      <c r="A29" t="s">
        <v>33</v>
      </c>
      <c r="B29" t="s">
        <v>9</v>
      </c>
    </row>
    <row r="30" spans="1:2" x14ac:dyDescent="0.3">
      <c r="A30" t="s">
        <v>34</v>
      </c>
      <c r="B30" t="s">
        <v>10</v>
      </c>
    </row>
    <row r="31" spans="1:2" x14ac:dyDescent="0.3">
      <c r="A31" t="s">
        <v>35</v>
      </c>
      <c r="B31" t="s">
        <v>9</v>
      </c>
    </row>
    <row r="32" spans="1:2" x14ac:dyDescent="0.3">
      <c r="A32" t="s">
        <v>36</v>
      </c>
      <c r="B32" t="s">
        <v>9</v>
      </c>
    </row>
    <row r="33" spans="1:2" x14ac:dyDescent="0.3">
      <c r="A33" t="s">
        <v>37</v>
      </c>
      <c r="B33" t="s">
        <v>8</v>
      </c>
    </row>
    <row r="34" spans="1:2" x14ac:dyDescent="0.3">
      <c r="A34" t="s">
        <v>38</v>
      </c>
      <c r="B34" t="s">
        <v>13</v>
      </c>
    </row>
    <row r="35" spans="1:2" x14ac:dyDescent="0.3">
      <c r="A35" t="s">
        <v>39</v>
      </c>
      <c r="B35" t="s">
        <v>8</v>
      </c>
    </row>
    <row r="36" spans="1:2" x14ac:dyDescent="0.3">
      <c r="A36" t="s">
        <v>40</v>
      </c>
      <c r="B36" t="s">
        <v>13</v>
      </c>
    </row>
    <row r="37" spans="1:2" x14ac:dyDescent="0.3">
      <c r="A37" t="s">
        <v>41</v>
      </c>
      <c r="B37" t="s">
        <v>8</v>
      </c>
    </row>
    <row r="38" spans="1:2" x14ac:dyDescent="0.3">
      <c r="A38" t="s">
        <v>42</v>
      </c>
      <c r="B38" t="s">
        <v>13</v>
      </c>
    </row>
    <row r="39" spans="1:2" x14ac:dyDescent="0.3">
      <c r="A39" t="s">
        <v>43</v>
      </c>
      <c r="B39" t="s">
        <v>13</v>
      </c>
    </row>
    <row r="40" spans="1:2" x14ac:dyDescent="0.3">
      <c r="A40" t="s">
        <v>44</v>
      </c>
      <c r="B40" t="s">
        <v>8</v>
      </c>
    </row>
    <row r="41" spans="1:2" x14ac:dyDescent="0.3">
      <c r="A41" t="s">
        <v>45</v>
      </c>
      <c r="B41" t="s">
        <v>13</v>
      </c>
    </row>
    <row r="42" spans="1:2" x14ac:dyDescent="0.3">
      <c r="A42" t="s">
        <v>46</v>
      </c>
      <c r="B42" t="s">
        <v>47</v>
      </c>
    </row>
    <row r="43" spans="1:2" x14ac:dyDescent="0.3">
      <c r="A43" t="s">
        <v>48</v>
      </c>
      <c r="B43" t="s">
        <v>8</v>
      </c>
    </row>
    <row r="44" spans="1:2" x14ac:dyDescent="0.3">
      <c r="A44" t="s">
        <v>49</v>
      </c>
      <c r="B44" t="s">
        <v>8</v>
      </c>
    </row>
    <row r="45" spans="1:2" x14ac:dyDescent="0.3">
      <c r="A45" t="s">
        <v>50</v>
      </c>
      <c r="B45" t="s">
        <v>13</v>
      </c>
    </row>
    <row r="46" spans="1:2" x14ac:dyDescent="0.3">
      <c r="A46" t="s">
        <v>51</v>
      </c>
      <c r="B46" t="s">
        <v>8</v>
      </c>
    </row>
    <row r="47" spans="1:2" x14ac:dyDescent="0.3">
      <c r="A47" t="s">
        <v>52</v>
      </c>
      <c r="B47" t="s">
        <v>9</v>
      </c>
    </row>
    <row r="48" spans="1:2" x14ac:dyDescent="0.3">
      <c r="A48" t="s">
        <v>53</v>
      </c>
      <c r="B48" t="s">
        <v>8</v>
      </c>
    </row>
    <row r="49" spans="1:2" x14ac:dyDescent="0.3">
      <c r="A49" t="s">
        <v>54</v>
      </c>
      <c r="B49" t="s">
        <v>13</v>
      </c>
    </row>
    <row r="50" spans="1:2" x14ac:dyDescent="0.3">
      <c r="A50" t="s">
        <v>55</v>
      </c>
      <c r="B50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F81E-D32C-49FC-896A-98A3777F6D76}">
  <sheetPr codeName="Feuil2"/>
  <dimension ref="A1:N9"/>
  <sheetViews>
    <sheetView workbookViewId="0">
      <selection sqref="A1:A1048576"/>
    </sheetView>
  </sheetViews>
  <sheetFormatPr baseColWidth="10" defaultRowHeight="14.4" x14ac:dyDescent="0.3"/>
  <cols>
    <col min="1" max="1" width="25.44140625" customWidth="1"/>
  </cols>
  <sheetData>
    <row r="1" spans="1:14" x14ac:dyDescent="0.3">
      <c r="A1" t="s">
        <v>60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>
        <v>2024</v>
      </c>
    </row>
    <row r="2" spans="1:14" x14ac:dyDescent="0.3">
      <c r="A2" t="s">
        <v>56</v>
      </c>
      <c r="B2">
        <v>1</v>
      </c>
      <c r="C2">
        <v>4</v>
      </c>
      <c r="D2">
        <v>2</v>
      </c>
      <c r="E2">
        <v>4</v>
      </c>
      <c r="F2">
        <v>4</v>
      </c>
      <c r="G2">
        <v>2</v>
      </c>
      <c r="H2">
        <v>4</v>
      </c>
      <c r="I2">
        <v>3</v>
      </c>
      <c r="J2">
        <v>4</v>
      </c>
      <c r="K2">
        <v>5</v>
      </c>
      <c r="L2">
        <v>7</v>
      </c>
      <c r="M2">
        <v>8</v>
      </c>
      <c r="N2">
        <v>7</v>
      </c>
    </row>
    <row r="3" spans="1:14" x14ac:dyDescent="0.3">
      <c r="A3" t="s">
        <v>57</v>
      </c>
      <c r="B3">
        <v>0</v>
      </c>
      <c r="C3">
        <v>2</v>
      </c>
      <c r="D3">
        <v>4</v>
      </c>
      <c r="E3">
        <v>3</v>
      </c>
      <c r="F3">
        <v>3</v>
      </c>
      <c r="G3">
        <v>6</v>
      </c>
      <c r="H3">
        <v>5</v>
      </c>
      <c r="I3">
        <v>3</v>
      </c>
      <c r="J3">
        <v>6</v>
      </c>
      <c r="K3">
        <v>10</v>
      </c>
      <c r="L3">
        <v>10</v>
      </c>
      <c r="M3">
        <v>12</v>
      </c>
      <c r="N3">
        <v>6</v>
      </c>
    </row>
    <row r="4" spans="1:14" x14ac:dyDescent="0.3">
      <c r="A4" t="s">
        <v>13</v>
      </c>
      <c r="B4">
        <v>25</v>
      </c>
      <c r="C4">
        <v>30</v>
      </c>
      <c r="D4">
        <v>30</v>
      </c>
      <c r="E4">
        <v>32</v>
      </c>
      <c r="F4">
        <v>28</v>
      </c>
      <c r="G4">
        <v>25</v>
      </c>
      <c r="H4">
        <v>27</v>
      </c>
      <c r="I4">
        <v>30</v>
      </c>
      <c r="J4">
        <v>43</v>
      </c>
      <c r="K4">
        <v>64</v>
      </c>
      <c r="L4">
        <v>71</v>
      </c>
      <c r="M4">
        <v>80</v>
      </c>
      <c r="N4">
        <v>71</v>
      </c>
    </row>
    <row r="5" spans="1:14" x14ac:dyDescent="0.3">
      <c r="A5" t="s">
        <v>8</v>
      </c>
      <c r="B5">
        <v>34</v>
      </c>
      <c r="C5">
        <v>35</v>
      </c>
      <c r="D5">
        <v>38</v>
      </c>
      <c r="E5">
        <v>33</v>
      </c>
      <c r="F5">
        <v>31</v>
      </c>
      <c r="G5">
        <v>36</v>
      </c>
      <c r="H5">
        <v>31</v>
      </c>
      <c r="I5">
        <v>37</v>
      </c>
      <c r="J5">
        <v>52</v>
      </c>
      <c r="K5">
        <v>89</v>
      </c>
      <c r="L5">
        <v>111</v>
      </c>
      <c r="M5">
        <v>129</v>
      </c>
      <c r="N5">
        <v>119</v>
      </c>
    </row>
    <row r="6" spans="1:14" x14ac:dyDescent="0.3">
      <c r="A6" t="s">
        <v>58</v>
      </c>
      <c r="B6">
        <v>0</v>
      </c>
      <c r="C6">
        <v>5</v>
      </c>
      <c r="D6">
        <v>0</v>
      </c>
      <c r="E6">
        <v>3</v>
      </c>
      <c r="F6">
        <v>5</v>
      </c>
      <c r="G6">
        <v>2</v>
      </c>
      <c r="H6">
        <v>7</v>
      </c>
      <c r="I6">
        <v>3</v>
      </c>
      <c r="J6">
        <v>1</v>
      </c>
      <c r="K6">
        <v>5</v>
      </c>
      <c r="L6">
        <v>7</v>
      </c>
      <c r="M6">
        <v>3</v>
      </c>
      <c r="N6">
        <v>2</v>
      </c>
    </row>
    <row r="7" spans="1:14" x14ac:dyDescent="0.3">
      <c r="A7" t="s">
        <v>11</v>
      </c>
      <c r="B7">
        <v>2</v>
      </c>
      <c r="C7">
        <v>1</v>
      </c>
      <c r="D7">
        <v>0</v>
      </c>
      <c r="E7">
        <v>4</v>
      </c>
      <c r="F7">
        <v>2</v>
      </c>
      <c r="G7">
        <v>2</v>
      </c>
      <c r="H7">
        <v>2</v>
      </c>
      <c r="I7">
        <v>5</v>
      </c>
      <c r="J7">
        <v>3</v>
      </c>
      <c r="K7">
        <v>6</v>
      </c>
      <c r="L7">
        <v>8</v>
      </c>
      <c r="M7">
        <v>7</v>
      </c>
      <c r="N7">
        <v>6</v>
      </c>
    </row>
    <row r="8" spans="1:14" x14ac:dyDescent="0.3">
      <c r="A8" t="s">
        <v>10</v>
      </c>
      <c r="B8">
        <v>2</v>
      </c>
      <c r="C8">
        <v>8</v>
      </c>
      <c r="D8">
        <v>7</v>
      </c>
      <c r="E8">
        <v>5</v>
      </c>
      <c r="F8">
        <v>4</v>
      </c>
      <c r="G8">
        <v>5</v>
      </c>
      <c r="H8">
        <v>9</v>
      </c>
      <c r="I8">
        <v>7</v>
      </c>
      <c r="J8">
        <v>12</v>
      </c>
      <c r="K8">
        <v>15</v>
      </c>
      <c r="L8">
        <v>20</v>
      </c>
      <c r="M8">
        <v>18</v>
      </c>
      <c r="N8">
        <v>18</v>
      </c>
    </row>
    <row r="9" spans="1:14" x14ac:dyDescent="0.3">
      <c r="A9" t="s">
        <v>59</v>
      </c>
      <c r="B9">
        <f>SUM(B2:B8)</f>
        <v>64</v>
      </c>
      <c r="C9">
        <f>SUM(C2:C8)</f>
        <v>85</v>
      </c>
      <c r="D9">
        <f>SUM(D2:D8)</f>
        <v>81</v>
      </c>
      <c r="E9">
        <f t="shared" ref="E9:H9" si="0">SUM(E2:E8)</f>
        <v>84</v>
      </c>
      <c r="F9">
        <f t="shared" si="0"/>
        <v>77</v>
      </c>
      <c r="G9">
        <f t="shared" si="0"/>
        <v>78</v>
      </c>
      <c r="H9">
        <f t="shared" si="0"/>
        <v>85</v>
      </c>
      <c r="I9">
        <f t="shared" ref="I9" si="1">SUM(I2:I8)</f>
        <v>88</v>
      </c>
      <c r="J9">
        <f t="shared" ref="J9" si="2">SUM(J2:J8)</f>
        <v>121</v>
      </c>
      <c r="K9">
        <f t="shared" ref="K9" si="3">SUM(K2:K8)</f>
        <v>194</v>
      </c>
      <c r="L9">
        <f t="shared" ref="L9" si="4">SUM(L2:L8)</f>
        <v>234</v>
      </c>
      <c r="M9">
        <f t="shared" ref="M9" si="5">SUM(M2:M8)</f>
        <v>257</v>
      </c>
      <c r="N9">
        <f t="shared" ref="N9" si="6">SUM(N2:N8)</f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1658-A12C-4891-B678-D2915ACB03B7}">
  <sheetPr codeName="Feuil3"/>
  <dimension ref="A1:N24"/>
  <sheetViews>
    <sheetView workbookViewId="0">
      <selection sqref="A1:A1048576"/>
    </sheetView>
  </sheetViews>
  <sheetFormatPr baseColWidth="10" defaultRowHeight="14.4" x14ac:dyDescent="0.3"/>
  <cols>
    <col min="1" max="1" width="25.44140625" customWidth="1"/>
  </cols>
  <sheetData>
    <row r="1" spans="1:14" x14ac:dyDescent="0.3">
      <c r="A1" s="19" t="s">
        <v>60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3">
        <v>2024</v>
      </c>
    </row>
    <row r="2" spans="1:14" x14ac:dyDescent="0.3">
      <c r="A2" s="20" t="s">
        <v>56</v>
      </c>
      <c r="B2">
        <v>1</v>
      </c>
      <c r="C2">
        <v>4</v>
      </c>
      <c r="D2">
        <v>2</v>
      </c>
      <c r="E2">
        <v>4</v>
      </c>
      <c r="F2">
        <v>4</v>
      </c>
      <c r="G2">
        <v>2</v>
      </c>
      <c r="H2">
        <v>4</v>
      </c>
      <c r="I2">
        <v>3</v>
      </c>
      <c r="J2">
        <v>4</v>
      </c>
      <c r="K2">
        <v>5</v>
      </c>
      <c r="L2">
        <v>7</v>
      </c>
      <c r="M2">
        <v>8</v>
      </c>
      <c r="N2" s="4">
        <v>7</v>
      </c>
    </row>
    <row r="3" spans="1:14" x14ac:dyDescent="0.3">
      <c r="A3" s="20" t="s">
        <v>57</v>
      </c>
      <c r="B3">
        <v>0</v>
      </c>
      <c r="C3">
        <v>2</v>
      </c>
      <c r="D3">
        <v>4</v>
      </c>
      <c r="E3">
        <v>3</v>
      </c>
      <c r="F3">
        <v>3</v>
      </c>
      <c r="G3">
        <v>6</v>
      </c>
      <c r="H3">
        <v>5</v>
      </c>
      <c r="I3">
        <v>3</v>
      </c>
      <c r="J3">
        <v>6</v>
      </c>
      <c r="K3">
        <v>10</v>
      </c>
      <c r="L3">
        <v>10</v>
      </c>
      <c r="M3">
        <v>12</v>
      </c>
      <c r="N3" s="4">
        <v>6</v>
      </c>
    </row>
    <row r="4" spans="1:14" x14ac:dyDescent="0.3">
      <c r="A4" s="20" t="s">
        <v>13</v>
      </c>
      <c r="B4">
        <v>25</v>
      </c>
      <c r="C4">
        <v>30</v>
      </c>
      <c r="D4">
        <v>30</v>
      </c>
      <c r="E4">
        <v>32</v>
      </c>
      <c r="F4">
        <v>28</v>
      </c>
      <c r="G4">
        <v>25</v>
      </c>
      <c r="H4">
        <v>27</v>
      </c>
      <c r="I4">
        <v>30</v>
      </c>
      <c r="J4">
        <v>43</v>
      </c>
      <c r="K4">
        <v>64</v>
      </c>
      <c r="L4">
        <v>71</v>
      </c>
      <c r="M4">
        <v>80</v>
      </c>
      <c r="N4" s="4">
        <v>71</v>
      </c>
    </row>
    <row r="5" spans="1:14" x14ac:dyDescent="0.3">
      <c r="A5" s="20" t="s">
        <v>8</v>
      </c>
      <c r="B5">
        <v>34</v>
      </c>
      <c r="C5">
        <v>35</v>
      </c>
      <c r="D5">
        <v>38</v>
      </c>
      <c r="E5">
        <v>33</v>
      </c>
      <c r="F5">
        <v>31</v>
      </c>
      <c r="G5">
        <v>36</v>
      </c>
      <c r="H5">
        <v>31</v>
      </c>
      <c r="I5">
        <v>37</v>
      </c>
      <c r="J5">
        <v>52</v>
      </c>
      <c r="K5">
        <v>89</v>
      </c>
      <c r="L5">
        <v>111</v>
      </c>
      <c r="M5">
        <v>129</v>
      </c>
      <c r="N5" s="4">
        <v>119</v>
      </c>
    </row>
    <row r="6" spans="1:14" x14ac:dyDescent="0.3">
      <c r="A6" s="20" t="s">
        <v>58</v>
      </c>
      <c r="B6">
        <v>0</v>
      </c>
      <c r="C6">
        <v>5</v>
      </c>
      <c r="D6">
        <v>0</v>
      </c>
      <c r="E6">
        <v>3</v>
      </c>
      <c r="F6">
        <v>5</v>
      </c>
      <c r="G6">
        <v>2</v>
      </c>
      <c r="H6">
        <v>7</v>
      </c>
      <c r="I6">
        <v>3</v>
      </c>
      <c r="J6">
        <v>1</v>
      </c>
      <c r="K6">
        <v>5</v>
      </c>
      <c r="L6">
        <v>7</v>
      </c>
      <c r="M6">
        <v>3</v>
      </c>
      <c r="N6" s="4">
        <v>2</v>
      </c>
    </row>
    <row r="7" spans="1:14" x14ac:dyDescent="0.3">
      <c r="A7" s="20" t="s">
        <v>11</v>
      </c>
      <c r="B7">
        <v>2</v>
      </c>
      <c r="C7">
        <v>1</v>
      </c>
      <c r="D7">
        <v>0</v>
      </c>
      <c r="E7">
        <v>4</v>
      </c>
      <c r="F7">
        <v>2</v>
      </c>
      <c r="G7">
        <v>2</v>
      </c>
      <c r="H7">
        <v>2</v>
      </c>
      <c r="I7">
        <v>5</v>
      </c>
      <c r="J7">
        <v>3</v>
      </c>
      <c r="K7">
        <v>6</v>
      </c>
      <c r="L7">
        <v>8</v>
      </c>
      <c r="M7">
        <v>7</v>
      </c>
      <c r="N7" s="4">
        <v>6</v>
      </c>
    </row>
    <row r="8" spans="1:14" x14ac:dyDescent="0.3">
      <c r="A8" s="20" t="s">
        <v>10</v>
      </c>
      <c r="B8">
        <v>2</v>
      </c>
      <c r="C8">
        <v>8</v>
      </c>
      <c r="D8">
        <v>7</v>
      </c>
      <c r="E8">
        <v>5</v>
      </c>
      <c r="F8">
        <v>4</v>
      </c>
      <c r="G8">
        <v>5</v>
      </c>
      <c r="H8">
        <v>9</v>
      </c>
      <c r="I8">
        <v>7</v>
      </c>
      <c r="J8">
        <v>12</v>
      </c>
      <c r="K8">
        <v>15</v>
      </c>
      <c r="L8">
        <v>20</v>
      </c>
      <c r="M8">
        <v>18</v>
      </c>
      <c r="N8" s="4">
        <v>18</v>
      </c>
    </row>
    <row r="9" spans="1:14" ht="15" thickBot="1" x14ac:dyDescent="0.35">
      <c r="A9" s="21" t="s">
        <v>59</v>
      </c>
      <c r="B9" s="5">
        <f>SUM(B2:B8)</f>
        <v>64</v>
      </c>
      <c r="C9" s="5">
        <f>SUM(C2:C8)</f>
        <v>85</v>
      </c>
      <c r="D9" s="5">
        <f>SUM(D2:D8)</f>
        <v>81</v>
      </c>
      <c r="E9" s="5">
        <f t="shared" ref="E9:N9" si="0">SUM(E2:E8)</f>
        <v>84</v>
      </c>
      <c r="F9" s="5">
        <f t="shared" si="0"/>
        <v>77</v>
      </c>
      <c r="G9" s="5">
        <f t="shared" si="0"/>
        <v>78</v>
      </c>
      <c r="H9" s="5">
        <f t="shared" si="0"/>
        <v>85</v>
      </c>
      <c r="I9" s="5">
        <f t="shared" si="0"/>
        <v>88</v>
      </c>
      <c r="J9" s="5">
        <f t="shared" si="0"/>
        <v>121</v>
      </c>
      <c r="K9" s="5">
        <f t="shared" si="0"/>
        <v>194</v>
      </c>
      <c r="L9" s="5">
        <f t="shared" si="0"/>
        <v>234</v>
      </c>
      <c r="M9" s="5">
        <f t="shared" si="0"/>
        <v>257</v>
      </c>
      <c r="N9" s="6">
        <f t="shared" si="0"/>
        <v>229</v>
      </c>
    </row>
    <row r="10" spans="1:14" x14ac:dyDescent="0.3">
      <c r="B10">
        <v>50</v>
      </c>
      <c r="C10">
        <v>50</v>
      </c>
      <c r="D10">
        <v>49</v>
      </c>
      <c r="E10">
        <v>49</v>
      </c>
      <c r="F10">
        <v>50</v>
      </c>
      <c r="G10">
        <v>49</v>
      </c>
      <c r="H10">
        <v>50</v>
      </c>
      <c r="I10">
        <v>51</v>
      </c>
      <c r="J10">
        <v>75</v>
      </c>
      <c r="K10">
        <v>120</v>
      </c>
      <c r="L10">
        <v>143</v>
      </c>
      <c r="M10">
        <v>163</v>
      </c>
      <c r="N10" s="4">
        <v>155</v>
      </c>
    </row>
    <row r="11" spans="1:14" ht="15" thickBot="1" x14ac:dyDescent="0.35"/>
    <row r="12" spans="1:14" x14ac:dyDescent="0.3">
      <c r="A12" s="19" t="s">
        <v>56</v>
      </c>
      <c r="B12" s="7">
        <f>B2/B$10</f>
        <v>0.02</v>
      </c>
      <c r="C12" s="7">
        <f t="shared" ref="C12:N12" si="1">C2/C$10</f>
        <v>0.08</v>
      </c>
      <c r="D12" s="7">
        <f t="shared" si="1"/>
        <v>4.0816326530612242E-2</v>
      </c>
      <c r="E12" s="7">
        <f t="shared" si="1"/>
        <v>8.1632653061224483E-2</v>
      </c>
      <c r="F12" s="7">
        <f t="shared" si="1"/>
        <v>0.08</v>
      </c>
      <c r="G12" s="7">
        <f t="shared" si="1"/>
        <v>4.0816326530612242E-2</v>
      </c>
      <c r="H12" s="7">
        <f t="shared" si="1"/>
        <v>0.08</v>
      </c>
      <c r="I12" s="7">
        <f t="shared" si="1"/>
        <v>5.8823529411764705E-2</v>
      </c>
      <c r="J12" s="7">
        <f t="shared" si="1"/>
        <v>5.3333333333333337E-2</v>
      </c>
      <c r="K12" s="7">
        <f t="shared" si="1"/>
        <v>4.1666666666666664E-2</v>
      </c>
      <c r="L12" s="7">
        <f t="shared" si="1"/>
        <v>4.8951048951048952E-2</v>
      </c>
      <c r="M12" s="7">
        <f t="shared" si="1"/>
        <v>4.9079754601226995E-2</v>
      </c>
      <c r="N12" s="8">
        <f t="shared" si="1"/>
        <v>4.5161290322580643E-2</v>
      </c>
    </row>
    <row r="13" spans="1:14" x14ac:dyDescent="0.3">
      <c r="A13" s="20" t="s">
        <v>57</v>
      </c>
      <c r="B13" s="9">
        <f t="shared" ref="B13:N13" si="2">B3/B$10</f>
        <v>0</v>
      </c>
      <c r="C13" s="9">
        <f t="shared" si="2"/>
        <v>0.04</v>
      </c>
      <c r="D13" s="9">
        <f t="shared" si="2"/>
        <v>8.1632653061224483E-2</v>
      </c>
      <c r="E13" s="9">
        <f t="shared" si="2"/>
        <v>6.1224489795918366E-2</v>
      </c>
      <c r="F13" s="9">
        <f t="shared" si="2"/>
        <v>0.06</v>
      </c>
      <c r="G13" s="9">
        <f t="shared" si="2"/>
        <v>0.12244897959183673</v>
      </c>
      <c r="H13" s="9">
        <f t="shared" si="2"/>
        <v>0.1</v>
      </c>
      <c r="I13" s="9">
        <f t="shared" si="2"/>
        <v>5.8823529411764705E-2</v>
      </c>
      <c r="J13" s="9">
        <f t="shared" si="2"/>
        <v>0.08</v>
      </c>
      <c r="K13" s="9">
        <f t="shared" si="2"/>
        <v>8.3333333333333329E-2</v>
      </c>
      <c r="L13" s="9">
        <f t="shared" si="2"/>
        <v>6.9930069930069935E-2</v>
      </c>
      <c r="M13" s="9">
        <f t="shared" si="2"/>
        <v>7.3619631901840496E-2</v>
      </c>
      <c r="N13" s="10">
        <f t="shared" si="2"/>
        <v>3.870967741935484E-2</v>
      </c>
    </row>
    <row r="14" spans="1:14" x14ac:dyDescent="0.3">
      <c r="A14" s="20" t="s">
        <v>13</v>
      </c>
      <c r="B14" s="9">
        <f t="shared" ref="B14:N14" si="3">B4/B$10</f>
        <v>0.5</v>
      </c>
      <c r="C14" s="9">
        <f t="shared" si="3"/>
        <v>0.6</v>
      </c>
      <c r="D14" s="9">
        <f t="shared" si="3"/>
        <v>0.61224489795918369</v>
      </c>
      <c r="E14" s="9">
        <f t="shared" si="3"/>
        <v>0.65306122448979587</v>
      </c>
      <c r="F14" s="9">
        <f t="shared" si="3"/>
        <v>0.56000000000000005</v>
      </c>
      <c r="G14" s="9">
        <f t="shared" si="3"/>
        <v>0.51020408163265307</v>
      </c>
      <c r="H14" s="9">
        <f t="shared" si="3"/>
        <v>0.54</v>
      </c>
      <c r="I14" s="9">
        <f t="shared" si="3"/>
        <v>0.58823529411764708</v>
      </c>
      <c r="J14" s="9">
        <f t="shared" si="3"/>
        <v>0.57333333333333336</v>
      </c>
      <c r="K14" s="9">
        <f t="shared" si="3"/>
        <v>0.53333333333333333</v>
      </c>
      <c r="L14" s="9">
        <f t="shared" si="3"/>
        <v>0.49650349650349651</v>
      </c>
      <c r="M14" s="9">
        <f t="shared" si="3"/>
        <v>0.49079754601226994</v>
      </c>
      <c r="N14" s="10">
        <f t="shared" si="3"/>
        <v>0.45806451612903226</v>
      </c>
    </row>
    <row r="15" spans="1:14" x14ac:dyDescent="0.3">
      <c r="A15" s="20" t="s">
        <v>8</v>
      </c>
      <c r="B15" s="9">
        <f t="shared" ref="B15:N15" si="4">B5/B$10</f>
        <v>0.68</v>
      </c>
      <c r="C15" s="9">
        <f t="shared" si="4"/>
        <v>0.7</v>
      </c>
      <c r="D15" s="9">
        <f t="shared" si="4"/>
        <v>0.77551020408163263</v>
      </c>
      <c r="E15" s="9">
        <f t="shared" si="4"/>
        <v>0.67346938775510201</v>
      </c>
      <c r="F15" s="9">
        <f t="shared" si="4"/>
        <v>0.62</v>
      </c>
      <c r="G15" s="9">
        <f t="shared" si="4"/>
        <v>0.73469387755102045</v>
      </c>
      <c r="H15" s="9">
        <f t="shared" si="4"/>
        <v>0.62</v>
      </c>
      <c r="I15" s="9">
        <f t="shared" si="4"/>
        <v>0.72549019607843135</v>
      </c>
      <c r="J15" s="9">
        <f t="shared" si="4"/>
        <v>0.69333333333333336</v>
      </c>
      <c r="K15" s="9">
        <f t="shared" si="4"/>
        <v>0.7416666666666667</v>
      </c>
      <c r="L15" s="9">
        <f t="shared" si="4"/>
        <v>0.77622377622377625</v>
      </c>
      <c r="M15" s="9">
        <f t="shared" si="4"/>
        <v>0.79141104294478526</v>
      </c>
      <c r="N15" s="10">
        <f t="shared" si="4"/>
        <v>0.76774193548387093</v>
      </c>
    </row>
    <row r="16" spans="1:14" x14ac:dyDescent="0.3">
      <c r="A16" s="20" t="s">
        <v>58</v>
      </c>
      <c r="B16" s="9">
        <f t="shared" ref="B16:N16" si="5">B6/B$10</f>
        <v>0</v>
      </c>
      <c r="C16" s="9">
        <f t="shared" si="5"/>
        <v>0.1</v>
      </c>
      <c r="D16" s="9">
        <f t="shared" si="5"/>
        <v>0</v>
      </c>
      <c r="E16" s="9">
        <f t="shared" si="5"/>
        <v>6.1224489795918366E-2</v>
      </c>
      <c r="F16" s="9">
        <f t="shared" si="5"/>
        <v>0.1</v>
      </c>
      <c r="G16" s="9">
        <f t="shared" si="5"/>
        <v>4.0816326530612242E-2</v>
      </c>
      <c r="H16" s="9">
        <f t="shared" si="5"/>
        <v>0.14000000000000001</v>
      </c>
      <c r="I16" s="9">
        <f t="shared" si="5"/>
        <v>5.8823529411764705E-2</v>
      </c>
      <c r="J16" s="9">
        <f t="shared" si="5"/>
        <v>1.3333333333333334E-2</v>
      </c>
      <c r="K16" s="9">
        <f t="shared" si="5"/>
        <v>4.1666666666666664E-2</v>
      </c>
      <c r="L16" s="9">
        <f t="shared" si="5"/>
        <v>4.8951048951048952E-2</v>
      </c>
      <c r="M16" s="9">
        <f t="shared" si="5"/>
        <v>1.8404907975460124E-2</v>
      </c>
      <c r="N16" s="10">
        <f t="shared" si="5"/>
        <v>1.2903225806451613E-2</v>
      </c>
    </row>
    <row r="17" spans="1:14" x14ac:dyDescent="0.3">
      <c r="A17" s="20" t="s">
        <v>11</v>
      </c>
      <c r="B17" s="9">
        <f t="shared" ref="B17:N17" si="6">B7/B$10</f>
        <v>0.04</v>
      </c>
      <c r="C17" s="9">
        <f t="shared" si="6"/>
        <v>0.02</v>
      </c>
      <c r="D17" s="9">
        <f t="shared" si="6"/>
        <v>0</v>
      </c>
      <c r="E17" s="9">
        <f t="shared" si="6"/>
        <v>8.1632653061224483E-2</v>
      </c>
      <c r="F17" s="9">
        <f t="shared" si="6"/>
        <v>0.04</v>
      </c>
      <c r="G17" s="9">
        <f t="shared" si="6"/>
        <v>4.0816326530612242E-2</v>
      </c>
      <c r="H17" s="9">
        <f t="shared" si="6"/>
        <v>0.04</v>
      </c>
      <c r="I17" s="9">
        <f t="shared" si="6"/>
        <v>9.8039215686274508E-2</v>
      </c>
      <c r="J17" s="9">
        <f t="shared" si="6"/>
        <v>0.04</v>
      </c>
      <c r="K17" s="9">
        <f t="shared" si="6"/>
        <v>0.05</v>
      </c>
      <c r="L17" s="9">
        <f t="shared" si="6"/>
        <v>5.5944055944055944E-2</v>
      </c>
      <c r="M17" s="9">
        <f t="shared" si="6"/>
        <v>4.2944785276073622E-2</v>
      </c>
      <c r="N17" s="10">
        <f t="shared" si="6"/>
        <v>3.870967741935484E-2</v>
      </c>
    </row>
    <row r="18" spans="1:14" x14ac:dyDescent="0.3">
      <c r="A18" s="20" t="s">
        <v>10</v>
      </c>
      <c r="B18" s="9">
        <f t="shared" ref="B18:N18" si="7">B8/B$10</f>
        <v>0.04</v>
      </c>
      <c r="C18" s="9">
        <f t="shared" si="7"/>
        <v>0.16</v>
      </c>
      <c r="D18" s="9">
        <f t="shared" si="7"/>
        <v>0.14285714285714285</v>
      </c>
      <c r="E18" s="9">
        <f t="shared" si="7"/>
        <v>0.10204081632653061</v>
      </c>
      <c r="F18" s="9">
        <f t="shared" si="7"/>
        <v>0.08</v>
      </c>
      <c r="G18" s="9">
        <f t="shared" si="7"/>
        <v>0.10204081632653061</v>
      </c>
      <c r="H18" s="9">
        <f t="shared" si="7"/>
        <v>0.18</v>
      </c>
      <c r="I18" s="9">
        <f t="shared" si="7"/>
        <v>0.13725490196078433</v>
      </c>
      <c r="J18" s="9">
        <f t="shared" si="7"/>
        <v>0.16</v>
      </c>
      <c r="K18" s="9">
        <f t="shared" si="7"/>
        <v>0.125</v>
      </c>
      <c r="L18" s="9">
        <f t="shared" si="7"/>
        <v>0.13986013986013987</v>
      </c>
      <c r="M18" s="9">
        <f t="shared" si="7"/>
        <v>0.11042944785276074</v>
      </c>
      <c r="N18" s="10">
        <f t="shared" si="7"/>
        <v>0.11612903225806452</v>
      </c>
    </row>
    <row r="19" spans="1:14" ht="15" thickBot="1" x14ac:dyDescent="0.35">
      <c r="A19" s="21" t="s">
        <v>59</v>
      </c>
      <c r="B19" s="11">
        <f t="shared" ref="B19:N19" si="8">B9/B$10</f>
        <v>1.28</v>
      </c>
      <c r="C19" s="11">
        <f t="shared" si="8"/>
        <v>1.7</v>
      </c>
      <c r="D19" s="11">
        <f t="shared" si="8"/>
        <v>1.653061224489796</v>
      </c>
      <c r="E19" s="11">
        <f t="shared" si="8"/>
        <v>1.7142857142857142</v>
      </c>
      <c r="F19" s="11">
        <f t="shared" si="8"/>
        <v>1.54</v>
      </c>
      <c r="G19" s="11">
        <f t="shared" si="8"/>
        <v>1.5918367346938775</v>
      </c>
      <c r="H19" s="11">
        <f t="shared" si="8"/>
        <v>1.7</v>
      </c>
      <c r="I19" s="11">
        <f t="shared" si="8"/>
        <v>1.7254901960784315</v>
      </c>
      <c r="J19" s="11">
        <f t="shared" si="8"/>
        <v>1.6133333333333333</v>
      </c>
      <c r="K19" s="11">
        <f t="shared" si="8"/>
        <v>1.6166666666666667</v>
      </c>
      <c r="L19" s="11">
        <f t="shared" si="8"/>
        <v>1.6363636363636365</v>
      </c>
      <c r="M19" s="11">
        <f t="shared" si="8"/>
        <v>1.5766871165644172</v>
      </c>
      <c r="N19" s="12">
        <f t="shared" si="8"/>
        <v>1.4774193548387098</v>
      </c>
    </row>
    <row r="20" spans="1:14" ht="15" thickBot="1" x14ac:dyDescent="0.35">
      <c r="B20" s="1"/>
    </row>
    <row r="21" spans="1:14" x14ac:dyDescent="0.3">
      <c r="A21" s="19" t="s">
        <v>61</v>
      </c>
      <c r="B21" s="13">
        <f>B12+B16+B17</f>
        <v>0.06</v>
      </c>
      <c r="C21" s="13">
        <f t="shared" ref="C21:N21" si="9">C12+C16+C17</f>
        <v>0.19999999999999998</v>
      </c>
      <c r="D21" s="13">
        <f t="shared" si="9"/>
        <v>4.0816326530612242E-2</v>
      </c>
      <c r="E21" s="13">
        <f t="shared" si="9"/>
        <v>0.22448979591836732</v>
      </c>
      <c r="F21" s="13">
        <f t="shared" si="9"/>
        <v>0.22</v>
      </c>
      <c r="G21" s="13">
        <f t="shared" si="9"/>
        <v>0.12244897959183673</v>
      </c>
      <c r="H21" s="13">
        <f t="shared" si="9"/>
        <v>0.26</v>
      </c>
      <c r="I21" s="13">
        <f t="shared" si="9"/>
        <v>0.21568627450980393</v>
      </c>
      <c r="J21" s="13">
        <f t="shared" si="9"/>
        <v>0.10666666666666666</v>
      </c>
      <c r="K21" s="13">
        <f t="shared" si="9"/>
        <v>0.13333333333333333</v>
      </c>
      <c r="L21" s="13">
        <f t="shared" si="9"/>
        <v>0.15384615384615385</v>
      </c>
      <c r="M21" s="13">
        <f t="shared" si="9"/>
        <v>0.11042944785276074</v>
      </c>
      <c r="N21" s="14">
        <f t="shared" si="9"/>
        <v>9.6774193548387094E-2</v>
      </c>
    </row>
    <row r="22" spans="1:14" x14ac:dyDescent="0.3">
      <c r="A22" s="20" t="s">
        <v>62</v>
      </c>
      <c r="B22" s="15">
        <f>B14+B15+B18</f>
        <v>1.2200000000000002</v>
      </c>
      <c r="C22" s="15">
        <f t="shared" ref="C22:N22" si="10">C14+C15+C18</f>
        <v>1.4599999999999997</v>
      </c>
      <c r="D22" s="15">
        <f t="shared" si="10"/>
        <v>1.5306122448979591</v>
      </c>
      <c r="E22" s="15">
        <f t="shared" si="10"/>
        <v>1.4285714285714284</v>
      </c>
      <c r="F22" s="15">
        <f t="shared" si="10"/>
        <v>1.2600000000000002</v>
      </c>
      <c r="G22" s="15">
        <f t="shared" si="10"/>
        <v>1.3469387755102042</v>
      </c>
      <c r="H22" s="15">
        <f t="shared" si="10"/>
        <v>1.34</v>
      </c>
      <c r="I22" s="15">
        <f t="shared" si="10"/>
        <v>1.4509803921568627</v>
      </c>
      <c r="J22" s="15">
        <f t="shared" si="10"/>
        <v>1.4266666666666665</v>
      </c>
      <c r="K22" s="15">
        <f t="shared" si="10"/>
        <v>1.4</v>
      </c>
      <c r="L22" s="15">
        <f t="shared" si="10"/>
        <v>1.4125874125874125</v>
      </c>
      <c r="M22" s="15">
        <f t="shared" si="10"/>
        <v>1.3926380368098159</v>
      </c>
      <c r="N22" s="16">
        <f t="shared" si="10"/>
        <v>1.3419354838709678</v>
      </c>
    </row>
    <row r="23" spans="1:14" x14ac:dyDescent="0.3">
      <c r="A23" s="20" t="s">
        <v>57</v>
      </c>
      <c r="B23" s="15">
        <f>B13</f>
        <v>0</v>
      </c>
      <c r="C23" s="15">
        <f t="shared" ref="C23:N23" si="11">C13</f>
        <v>0.04</v>
      </c>
      <c r="D23" s="15">
        <f t="shared" si="11"/>
        <v>8.1632653061224483E-2</v>
      </c>
      <c r="E23" s="15">
        <f t="shared" si="11"/>
        <v>6.1224489795918366E-2</v>
      </c>
      <c r="F23" s="15">
        <f t="shared" si="11"/>
        <v>0.06</v>
      </c>
      <c r="G23" s="15">
        <f t="shared" si="11"/>
        <v>0.12244897959183673</v>
      </c>
      <c r="H23" s="15">
        <f t="shared" si="11"/>
        <v>0.1</v>
      </c>
      <c r="I23" s="15">
        <f t="shared" si="11"/>
        <v>5.8823529411764705E-2</v>
      </c>
      <c r="J23" s="15">
        <f t="shared" si="11"/>
        <v>0.08</v>
      </c>
      <c r="K23" s="15">
        <f t="shared" si="11"/>
        <v>8.3333333333333329E-2</v>
      </c>
      <c r="L23" s="15">
        <f t="shared" si="11"/>
        <v>6.9930069930069935E-2</v>
      </c>
      <c r="M23" s="15">
        <f t="shared" si="11"/>
        <v>7.3619631901840496E-2</v>
      </c>
      <c r="N23" s="16">
        <f t="shared" si="11"/>
        <v>3.870967741935484E-2</v>
      </c>
    </row>
    <row r="24" spans="1:14" ht="15" thickBot="1" x14ac:dyDescent="0.35">
      <c r="A24" s="21" t="s">
        <v>59</v>
      </c>
      <c r="B24" s="17">
        <f>SUM(B21:B23)</f>
        <v>1.2800000000000002</v>
      </c>
      <c r="C24" s="17">
        <f t="shared" ref="C24:N24" si="12">SUM(C21:C23)</f>
        <v>1.6999999999999997</v>
      </c>
      <c r="D24" s="17">
        <f t="shared" si="12"/>
        <v>1.653061224489796</v>
      </c>
      <c r="E24" s="17">
        <f t="shared" si="12"/>
        <v>1.7142857142857142</v>
      </c>
      <c r="F24" s="17">
        <f t="shared" si="12"/>
        <v>1.5400000000000003</v>
      </c>
      <c r="G24" s="17">
        <f t="shared" si="12"/>
        <v>1.5918367346938775</v>
      </c>
      <c r="H24" s="17">
        <f t="shared" si="12"/>
        <v>1.7000000000000002</v>
      </c>
      <c r="I24" s="17">
        <f t="shared" si="12"/>
        <v>1.7254901960784312</v>
      </c>
      <c r="J24" s="17">
        <f t="shared" si="12"/>
        <v>1.6133333333333333</v>
      </c>
      <c r="K24" s="17">
        <f t="shared" si="12"/>
        <v>1.6166666666666665</v>
      </c>
      <c r="L24" s="17">
        <f t="shared" si="12"/>
        <v>1.6363636363636362</v>
      </c>
      <c r="M24" s="17">
        <f t="shared" si="12"/>
        <v>1.5766871165644172</v>
      </c>
      <c r="N24" s="18">
        <f t="shared" si="12"/>
        <v>1.4774193548387098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E096-E1AC-44AA-A7F6-D0CC8A79E024}">
  <dimension ref="A1:I52"/>
  <sheetViews>
    <sheetView tabSelected="1" topLeftCell="A34" workbookViewId="0">
      <selection activeCell="A52" sqref="A52"/>
    </sheetView>
  </sheetViews>
  <sheetFormatPr baseColWidth="10" defaultRowHeight="14.4" x14ac:dyDescent="0.3"/>
  <cols>
    <col min="1" max="1" width="39.21875" customWidth="1"/>
    <col min="2" max="2" width="24.88671875" customWidth="1"/>
    <col min="3" max="9" width="11.5546875" style="22"/>
  </cols>
  <sheetData>
    <row r="1" spans="1:9" x14ac:dyDescent="0.3">
      <c r="A1" t="s">
        <v>63</v>
      </c>
      <c r="B1" t="s">
        <v>60</v>
      </c>
      <c r="C1" s="22" t="s">
        <v>67</v>
      </c>
      <c r="D1" s="22" t="s">
        <v>57</v>
      </c>
      <c r="E1" s="22" t="s">
        <v>65</v>
      </c>
      <c r="F1" s="22" t="s">
        <v>8</v>
      </c>
      <c r="G1" s="22" t="s">
        <v>11</v>
      </c>
      <c r="H1" s="22" t="s">
        <v>58</v>
      </c>
      <c r="I1" s="22" t="s">
        <v>10</v>
      </c>
    </row>
    <row r="2" spans="1:9" x14ac:dyDescent="0.3">
      <c r="A2" t="s">
        <v>0</v>
      </c>
      <c r="B2" t="s">
        <v>11</v>
      </c>
      <c r="G2" s="22">
        <v>1</v>
      </c>
    </row>
    <row r="3" spans="1:9" x14ac:dyDescent="0.3">
      <c r="A3" t="s">
        <v>1</v>
      </c>
      <c r="B3" t="s">
        <v>8</v>
      </c>
      <c r="F3" s="22">
        <v>1</v>
      </c>
    </row>
    <row r="4" spans="1:9" x14ac:dyDescent="0.3">
      <c r="A4" t="s">
        <v>2</v>
      </c>
      <c r="B4" t="s">
        <v>8</v>
      </c>
      <c r="F4" s="22">
        <v>1</v>
      </c>
    </row>
    <row r="5" spans="1:9" x14ac:dyDescent="0.3">
      <c r="A5" t="s">
        <v>3</v>
      </c>
      <c r="B5" t="s">
        <v>64</v>
      </c>
      <c r="E5" s="22">
        <v>1</v>
      </c>
      <c r="F5" s="22">
        <v>1</v>
      </c>
    </row>
    <row r="6" spans="1:9" x14ac:dyDescent="0.3">
      <c r="A6" t="s">
        <v>5</v>
      </c>
      <c r="B6" t="s">
        <v>8</v>
      </c>
      <c r="F6" s="22">
        <v>1</v>
      </c>
    </row>
    <row r="7" spans="1:9" x14ac:dyDescent="0.3">
      <c r="A7" t="s">
        <v>4</v>
      </c>
      <c r="B7" t="s">
        <v>10</v>
      </c>
      <c r="I7" s="22">
        <v>1</v>
      </c>
    </row>
    <row r="8" spans="1:9" x14ac:dyDescent="0.3">
      <c r="A8" t="s">
        <v>6</v>
      </c>
      <c r="B8" t="s">
        <v>64</v>
      </c>
      <c r="E8" s="22">
        <v>1</v>
      </c>
      <c r="F8" s="22">
        <v>1</v>
      </c>
    </row>
    <row r="9" spans="1:9" x14ac:dyDescent="0.3">
      <c r="A9" t="s">
        <v>7</v>
      </c>
      <c r="B9" t="s">
        <v>8</v>
      </c>
      <c r="F9" s="22">
        <v>1</v>
      </c>
    </row>
    <row r="10" spans="1:9" x14ac:dyDescent="0.3">
      <c r="A10" t="s">
        <v>12</v>
      </c>
      <c r="B10" t="s">
        <v>65</v>
      </c>
      <c r="E10" s="22">
        <v>1</v>
      </c>
    </row>
    <row r="11" spans="1:9" x14ac:dyDescent="0.3">
      <c r="A11" t="s">
        <v>14</v>
      </c>
      <c r="B11" t="s">
        <v>8</v>
      </c>
      <c r="F11" s="22">
        <v>1</v>
      </c>
    </row>
    <row r="12" spans="1:9" x14ac:dyDescent="0.3">
      <c r="A12" t="s">
        <v>15</v>
      </c>
      <c r="B12" t="s">
        <v>11</v>
      </c>
      <c r="G12" s="22">
        <v>1</v>
      </c>
    </row>
    <row r="13" spans="1:9" x14ac:dyDescent="0.3">
      <c r="A13" t="s">
        <v>16</v>
      </c>
      <c r="B13" t="s">
        <v>8</v>
      </c>
      <c r="F13" s="22">
        <v>1</v>
      </c>
    </row>
    <row r="14" spans="1:9" x14ac:dyDescent="0.3">
      <c r="A14" t="s">
        <v>17</v>
      </c>
      <c r="B14" t="s">
        <v>8</v>
      </c>
      <c r="F14" s="22">
        <v>1</v>
      </c>
    </row>
    <row r="15" spans="1:9" x14ac:dyDescent="0.3">
      <c r="A15" t="s">
        <v>18</v>
      </c>
      <c r="B15" t="s">
        <v>64</v>
      </c>
      <c r="E15" s="22">
        <v>1</v>
      </c>
      <c r="F15" s="22">
        <v>1</v>
      </c>
    </row>
    <row r="16" spans="1:9" x14ac:dyDescent="0.3">
      <c r="A16" t="s">
        <v>19</v>
      </c>
      <c r="B16" t="s">
        <v>64</v>
      </c>
      <c r="E16" s="22">
        <v>1</v>
      </c>
      <c r="F16" s="22">
        <v>1</v>
      </c>
    </row>
    <row r="17" spans="1:9" x14ac:dyDescent="0.3">
      <c r="A17" t="s">
        <v>20</v>
      </c>
      <c r="B17" t="s">
        <v>64</v>
      </c>
      <c r="E17" s="22">
        <v>1</v>
      </c>
      <c r="F17" s="22">
        <v>1</v>
      </c>
    </row>
    <row r="18" spans="1:9" x14ac:dyDescent="0.3">
      <c r="A18" t="s">
        <v>21</v>
      </c>
      <c r="B18" t="s">
        <v>8</v>
      </c>
      <c r="F18" s="22">
        <v>1</v>
      </c>
    </row>
    <row r="19" spans="1:9" x14ac:dyDescent="0.3">
      <c r="A19" t="s">
        <v>22</v>
      </c>
      <c r="B19" t="s">
        <v>8</v>
      </c>
      <c r="F19" s="22">
        <v>1</v>
      </c>
    </row>
    <row r="20" spans="1:9" x14ac:dyDescent="0.3">
      <c r="A20" t="s">
        <v>23</v>
      </c>
      <c r="B20" t="s">
        <v>8</v>
      </c>
      <c r="F20" s="22">
        <v>1</v>
      </c>
    </row>
    <row r="21" spans="1:9" x14ac:dyDescent="0.3">
      <c r="A21" t="s">
        <v>24</v>
      </c>
      <c r="B21" t="s">
        <v>8</v>
      </c>
      <c r="F21" s="22">
        <v>1</v>
      </c>
    </row>
    <row r="22" spans="1:9" x14ac:dyDescent="0.3">
      <c r="A22" t="s">
        <v>25</v>
      </c>
      <c r="B22" t="s">
        <v>65</v>
      </c>
      <c r="E22" s="22">
        <v>1</v>
      </c>
    </row>
    <row r="23" spans="1:9" x14ac:dyDescent="0.3">
      <c r="A23" t="s">
        <v>26</v>
      </c>
      <c r="B23" t="s">
        <v>64</v>
      </c>
      <c r="E23" s="22">
        <v>1</v>
      </c>
      <c r="F23" s="22">
        <v>1</v>
      </c>
    </row>
    <row r="24" spans="1:9" x14ac:dyDescent="0.3">
      <c r="A24" t="s">
        <v>27</v>
      </c>
      <c r="B24" t="s">
        <v>64</v>
      </c>
      <c r="E24" s="22">
        <v>1</v>
      </c>
      <c r="F24" s="22">
        <v>1</v>
      </c>
    </row>
    <row r="25" spans="1:9" x14ac:dyDescent="0.3">
      <c r="A25" t="s">
        <v>28</v>
      </c>
      <c r="B25" t="s">
        <v>65</v>
      </c>
      <c r="E25" s="22">
        <v>1</v>
      </c>
    </row>
    <row r="26" spans="1:9" x14ac:dyDescent="0.3">
      <c r="A26" t="s">
        <v>29</v>
      </c>
      <c r="B26" t="s">
        <v>8</v>
      </c>
      <c r="F26" s="22">
        <v>1</v>
      </c>
    </row>
    <row r="27" spans="1:9" x14ac:dyDescent="0.3">
      <c r="A27" t="s">
        <v>30</v>
      </c>
      <c r="B27" t="s">
        <v>64</v>
      </c>
      <c r="E27" s="22">
        <v>1</v>
      </c>
      <c r="F27" s="22">
        <v>1</v>
      </c>
    </row>
    <row r="28" spans="1:9" x14ac:dyDescent="0.3">
      <c r="A28" t="s">
        <v>31</v>
      </c>
      <c r="B28" t="s">
        <v>8</v>
      </c>
      <c r="F28" s="22">
        <v>1</v>
      </c>
    </row>
    <row r="29" spans="1:9" x14ac:dyDescent="0.3">
      <c r="A29" t="s">
        <v>32</v>
      </c>
      <c r="B29" t="s">
        <v>65</v>
      </c>
      <c r="E29" s="22">
        <v>1</v>
      </c>
    </row>
    <row r="30" spans="1:9" x14ac:dyDescent="0.3">
      <c r="A30" t="s">
        <v>33</v>
      </c>
      <c r="B30" t="s">
        <v>64</v>
      </c>
      <c r="E30" s="22">
        <v>1</v>
      </c>
      <c r="F30" s="22">
        <v>1</v>
      </c>
    </row>
    <row r="31" spans="1:9" x14ac:dyDescent="0.3">
      <c r="A31" t="s">
        <v>34</v>
      </c>
      <c r="B31" t="s">
        <v>10</v>
      </c>
      <c r="I31" s="22">
        <v>1</v>
      </c>
    </row>
    <row r="32" spans="1:9" x14ac:dyDescent="0.3">
      <c r="A32" t="s">
        <v>35</v>
      </c>
      <c r="B32" t="s">
        <v>64</v>
      </c>
      <c r="E32" s="22">
        <v>1</v>
      </c>
      <c r="F32" s="22">
        <v>1</v>
      </c>
    </row>
    <row r="33" spans="1:6" x14ac:dyDescent="0.3">
      <c r="A33" t="s">
        <v>36</v>
      </c>
      <c r="B33" t="s">
        <v>64</v>
      </c>
      <c r="E33" s="22">
        <v>1</v>
      </c>
      <c r="F33" s="22">
        <v>1</v>
      </c>
    </row>
    <row r="34" spans="1:6" x14ac:dyDescent="0.3">
      <c r="A34" t="s">
        <v>37</v>
      </c>
      <c r="B34" t="s">
        <v>8</v>
      </c>
      <c r="F34" s="22">
        <v>1</v>
      </c>
    </row>
    <row r="35" spans="1:6" x14ac:dyDescent="0.3">
      <c r="A35" t="s">
        <v>38</v>
      </c>
      <c r="B35" t="s">
        <v>65</v>
      </c>
      <c r="E35" s="22">
        <v>1</v>
      </c>
    </row>
    <row r="36" spans="1:6" x14ac:dyDescent="0.3">
      <c r="A36" t="s">
        <v>39</v>
      </c>
      <c r="B36" t="s">
        <v>8</v>
      </c>
      <c r="F36" s="22">
        <v>1</v>
      </c>
    </row>
    <row r="37" spans="1:6" x14ac:dyDescent="0.3">
      <c r="A37" t="s">
        <v>40</v>
      </c>
      <c r="B37" t="s">
        <v>65</v>
      </c>
      <c r="E37" s="22">
        <v>1</v>
      </c>
    </row>
    <row r="38" spans="1:6" x14ac:dyDescent="0.3">
      <c r="A38" t="s">
        <v>41</v>
      </c>
      <c r="B38" t="s">
        <v>8</v>
      </c>
      <c r="F38" s="22">
        <v>1</v>
      </c>
    </row>
    <row r="39" spans="1:6" x14ac:dyDescent="0.3">
      <c r="A39" t="s">
        <v>42</v>
      </c>
      <c r="B39" t="s">
        <v>65</v>
      </c>
      <c r="E39" s="22">
        <v>1</v>
      </c>
    </row>
    <row r="40" spans="1:6" x14ac:dyDescent="0.3">
      <c r="A40" t="s">
        <v>43</v>
      </c>
      <c r="B40" t="s">
        <v>65</v>
      </c>
      <c r="E40" s="22">
        <v>1</v>
      </c>
    </row>
    <row r="41" spans="1:6" x14ac:dyDescent="0.3">
      <c r="A41" t="s">
        <v>44</v>
      </c>
      <c r="B41" t="s">
        <v>8</v>
      </c>
      <c r="F41" s="22">
        <v>1</v>
      </c>
    </row>
    <row r="42" spans="1:6" x14ac:dyDescent="0.3">
      <c r="A42" t="s">
        <v>45</v>
      </c>
      <c r="B42" t="s">
        <v>65</v>
      </c>
      <c r="E42" s="22">
        <v>1</v>
      </c>
    </row>
    <row r="43" spans="1:6" x14ac:dyDescent="0.3">
      <c r="A43" t="s">
        <v>46</v>
      </c>
      <c r="B43" t="s">
        <v>66</v>
      </c>
      <c r="C43" s="22">
        <v>1</v>
      </c>
      <c r="E43" s="22">
        <v>1</v>
      </c>
    </row>
    <row r="44" spans="1:6" x14ac:dyDescent="0.3">
      <c r="A44" t="s">
        <v>48</v>
      </c>
      <c r="B44" t="s">
        <v>8</v>
      </c>
      <c r="F44" s="22">
        <v>1</v>
      </c>
    </row>
    <row r="45" spans="1:6" x14ac:dyDescent="0.3">
      <c r="A45" t="s">
        <v>49</v>
      </c>
      <c r="B45" t="s">
        <v>8</v>
      </c>
      <c r="F45" s="22">
        <v>1</v>
      </c>
    </row>
    <row r="46" spans="1:6" x14ac:dyDescent="0.3">
      <c r="A46" t="s">
        <v>50</v>
      </c>
      <c r="B46" t="s">
        <v>65</v>
      </c>
      <c r="E46" s="22">
        <v>1</v>
      </c>
    </row>
    <row r="47" spans="1:6" x14ac:dyDescent="0.3">
      <c r="A47" t="s">
        <v>51</v>
      </c>
      <c r="B47" t="s">
        <v>8</v>
      </c>
      <c r="F47" s="22">
        <v>1</v>
      </c>
    </row>
    <row r="48" spans="1:6" x14ac:dyDescent="0.3">
      <c r="A48" t="s">
        <v>52</v>
      </c>
      <c r="B48" t="s">
        <v>64</v>
      </c>
      <c r="E48" s="22">
        <v>1</v>
      </c>
      <c r="F48" s="22">
        <v>1</v>
      </c>
    </row>
    <row r="49" spans="1:9" x14ac:dyDescent="0.3">
      <c r="A49" t="s">
        <v>53</v>
      </c>
      <c r="B49" t="s">
        <v>8</v>
      </c>
      <c r="F49" s="22">
        <v>1</v>
      </c>
    </row>
    <row r="50" spans="1:9" x14ac:dyDescent="0.3">
      <c r="A50" t="s">
        <v>54</v>
      </c>
      <c r="B50" t="s">
        <v>65</v>
      </c>
      <c r="E50" s="22">
        <v>1</v>
      </c>
    </row>
    <row r="51" spans="1:9" x14ac:dyDescent="0.3">
      <c r="A51" t="s">
        <v>55</v>
      </c>
      <c r="B51" t="s">
        <v>64</v>
      </c>
      <c r="E51" s="22">
        <v>1</v>
      </c>
      <c r="F51" s="22">
        <v>1</v>
      </c>
    </row>
    <row r="52" spans="1:9" x14ac:dyDescent="0.3">
      <c r="A52" t="s">
        <v>59</v>
      </c>
      <c r="C52" s="22">
        <f t="shared" ref="C52" si="0">SUM(C2:C51)</f>
        <v>1</v>
      </c>
      <c r="D52" s="22">
        <f>SUM(D2:D51)</f>
        <v>0</v>
      </c>
      <c r="E52" s="22">
        <f t="shared" ref="E52:I52" si="1">SUM(E2:E51)</f>
        <v>25</v>
      </c>
      <c r="F52" s="22">
        <f t="shared" si="1"/>
        <v>34</v>
      </c>
      <c r="G52" s="22">
        <f t="shared" si="1"/>
        <v>2</v>
      </c>
      <c r="H52" s="22">
        <f t="shared" si="1"/>
        <v>0</v>
      </c>
      <c r="I52" s="22">
        <f t="shared" si="1"/>
        <v>2</v>
      </c>
    </row>
  </sheetData>
  <autoFilter ref="A1:I51" xr:uid="{D06BE096-E1AC-44AA-A7F6-D0CC8A79E0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2011</vt:lpstr>
      <vt:lpstr>Asset Class</vt:lpstr>
      <vt:lpstr>Asset Class (in %)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2024-07-14T20:46:26Z</dcterms:modified>
</cp:coreProperties>
</file>