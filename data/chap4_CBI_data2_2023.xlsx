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4. ESG Products\Data\"/>
    </mc:Choice>
  </mc:AlternateContent>
  <xr:revisionPtr revIDLastSave="0" documentId="13_ncr:1_{8DA5D78F-46EA-4667-BE67-01F6F7ACCD3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GB1" sheetId="2" r:id="rId1"/>
    <sheet name="GB2" sheetId="3" r:id="rId2"/>
    <sheet name="GB3" sheetId="4" r:id="rId3"/>
    <sheet name="GB5" sheetId="6" r:id="rId4"/>
    <sheet name="GB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5" l="1"/>
  <c r="J11" i="5"/>
  <c r="I11" i="5"/>
  <c r="H11" i="5"/>
  <c r="G11" i="5"/>
  <c r="F11" i="5"/>
  <c r="E11" i="5"/>
  <c r="D11" i="5"/>
  <c r="C11" i="5"/>
  <c r="K10" i="5"/>
  <c r="J10" i="5"/>
  <c r="I10" i="5"/>
  <c r="H10" i="5"/>
  <c r="G10" i="5"/>
  <c r="F10" i="5"/>
  <c r="E10" i="5"/>
  <c r="D10" i="5"/>
  <c r="C10" i="5"/>
  <c r="K9" i="5"/>
  <c r="K12" i="5" s="1"/>
  <c r="J9" i="5"/>
  <c r="J12" i="5" s="1"/>
  <c r="I9" i="5"/>
  <c r="I12" i="5" s="1"/>
  <c r="H9" i="5"/>
  <c r="H12" i="5" s="1"/>
  <c r="G9" i="5"/>
  <c r="F9" i="5"/>
  <c r="E9" i="5"/>
  <c r="D9" i="5"/>
  <c r="C9" i="5"/>
  <c r="K8" i="5"/>
  <c r="J8" i="5"/>
  <c r="I8" i="5"/>
  <c r="H8" i="5"/>
  <c r="G8" i="5"/>
  <c r="F8" i="5"/>
  <c r="E8" i="5"/>
  <c r="D8" i="5"/>
  <c r="C8" i="5"/>
  <c r="B11" i="5"/>
  <c r="B8" i="5"/>
  <c r="B10" i="5"/>
  <c r="B9" i="5"/>
  <c r="B12" i="5" l="1"/>
  <c r="C12" i="5"/>
  <c r="D12" i="5"/>
  <c r="E12" i="5"/>
  <c r="F12" i="5"/>
  <c r="G12" i="5"/>
</calcChain>
</file>

<file path=xl/sharedStrings.xml><?xml version="1.0" encoding="utf-8"?>
<sst xmlns="http://schemas.openxmlformats.org/spreadsheetml/2006/main" count="37" uniqueCount="31">
  <si>
    <t>Market</t>
  </si>
  <si>
    <t>Emerging</t>
  </si>
  <si>
    <t>Developed</t>
  </si>
  <si>
    <t>Supranational</t>
  </si>
  <si>
    <t>Region</t>
  </si>
  <si>
    <t>Africa</t>
  </si>
  <si>
    <t>Asia-Pacific</t>
  </si>
  <si>
    <t>Europe</t>
  </si>
  <si>
    <t>Latin America</t>
  </si>
  <si>
    <t>North America</t>
  </si>
  <si>
    <t>Energy</t>
  </si>
  <si>
    <t>Buildings</t>
  </si>
  <si>
    <t>Transport</t>
  </si>
  <si>
    <t>Water</t>
  </si>
  <si>
    <t>Waste</t>
  </si>
  <si>
    <t>Industry</t>
  </si>
  <si>
    <t>ICT</t>
  </si>
  <si>
    <t>Sector</t>
  </si>
  <si>
    <t>Issuer Type</t>
  </si>
  <si>
    <t>Development Bank</t>
  </si>
  <si>
    <t>Financial Corporate</t>
  </si>
  <si>
    <t>Government-Backed Entity</t>
  </si>
  <si>
    <t>Local Government</t>
  </si>
  <si>
    <t>Non-Financial Corporate</t>
  </si>
  <si>
    <t>Sovereign</t>
  </si>
  <si>
    <t>Financials</t>
  </si>
  <si>
    <t>GOV/SOV</t>
  </si>
  <si>
    <t>Corporates</t>
  </si>
  <si>
    <t>Land Use</t>
  </si>
  <si>
    <t>Other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</si>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</sst>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33" borderId="14" xfId="0" applyFill="1" applyBorder="1"/>
    <xf numFmtId="0" fontId="0" fillId="33" borderId="13" xfId="0" applyFill="1" applyBorder="1"/>
    <xf numFmtId="0" fontId="0" fillId="33" borderId="0" xfId="0" applyFill="1"/>
    <xf numFmtId="0" fontId="0" fillId="33" borderId="11" xfId="0" applyFill="1" applyBorder="1"/>
    <xf numFmtId="0" fontId="0" fillId="33" borderId="10" xfId="0" applyFill="1" applyBorder="1"/>
    <xf numFmtId="0" fontId="0" fillId="33" borderId="12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3" borderId="0" xfId="0" applyFill="1" applyBorder="1"/>
    <xf numFmtId="0" fontId="0" fillId="33" borderId="17" xfId="0" applyFill="1" applyBorder="1"/>
    <xf numFmtId="0" fontId="0" fillId="33" borderId="18" xfId="0" applyFill="1" applyBorder="1"/>
    <xf numFmtId="0" fontId="0" fillId="33" borderId="19" xfId="0" applyFill="1" applyBorder="1"/>
    <xf numFmtId="0" fontId="0" fillId="33" borderId="20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C18" sqref="C18"/>
    </sheetView>
  </sheetViews>
  <sheetFormatPr baseColWidth="10" defaultColWidth="8.88671875" defaultRowHeight="14.4" x14ac:dyDescent="0.3"/>
  <cols>
    <col min="1" max="1" width="17.88671875" style="3" customWidth="1"/>
    <col min="2" max="16384" width="8.88671875" style="3"/>
  </cols>
  <sheetData>
    <row r="1" spans="1:11" x14ac:dyDescent="0.3">
      <c r="A1" s="3" t="s">
        <v>0</v>
      </c>
      <c r="B1" s="3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</row>
    <row r="2" spans="1:11" x14ac:dyDescent="0.3">
      <c r="A2" s="3" t="s">
        <v>1</v>
      </c>
      <c r="B2" s="3">
        <v>0.8</v>
      </c>
      <c r="C2" s="3">
        <v>3.7</v>
      </c>
      <c r="D2" s="3">
        <v>42.4</v>
      </c>
      <c r="E2" s="3">
        <v>52.7</v>
      </c>
      <c r="F2" s="3">
        <v>54.9</v>
      </c>
      <c r="G2" s="3">
        <v>94.8</v>
      </c>
      <c r="H2" s="3">
        <v>76.599999999999994</v>
      </c>
      <c r="I2" s="3">
        <v>183</v>
      </c>
      <c r="J2" s="3">
        <v>199.2</v>
      </c>
      <c r="K2" s="3">
        <v>225.1</v>
      </c>
    </row>
    <row r="3" spans="1:11" x14ac:dyDescent="0.3">
      <c r="A3" s="3" t="s">
        <v>2</v>
      </c>
      <c r="B3" s="3">
        <v>27.2</v>
      </c>
      <c r="C3" s="3">
        <v>36.700000000000003</v>
      </c>
      <c r="D3" s="3">
        <v>50.5</v>
      </c>
      <c r="E3" s="3">
        <v>125.4</v>
      </c>
      <c r="F3" s="3">
        <v>141.4</v>
      </c>
      <c r="G3" s="3">
        <v>233.7</v>
      </c>
      <c r="H3" s="3">
        <v>269.3</v>
      </c>
      <c r="I3" s="3">
        <v>488.3</v>
      </c>
      <c r="J3" s="3">
        <v>403.3</v>
      </c>
      <c r="K3" s="3">
        <v>468.6</v>
      </c>
    </row>
    <row r="4" spans="1:11" x14ac:dyDescent="0.3">
      <c r="A4" s="3" t="s">
        <v>3</v>
      </c>
      <c r="B4" s="3">
        <v>10</v>
      </c>
      <c r="C4" s="3">
        <v>8.6</v>
      </c>
      <c r="D4" s="3">
        <v>10.3</v>
      </c>
      <c r="E4" s="3">
        <v>9.6</v>
      </c>
      <c r="F4" s="3">
        <v>13.4</v>
      </c>
      <c r="G4" s="3">
        <v>14.9</v>
      </c>
      <c r="H4" s="3">
        <v>14.9</v>
      </c>
      <c r="I4" s="3">
        <v>33.6</v>
      </c>
      <c r="J4" s="3">
        <v>46.4</v>
      </c>
      <c r="K4" s="3">
        <v>32.299999999999997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15.33203125" style="3" customWidth="1"/>
    <col min="2" max="16384" width="8.88671875" style="3"/>
  </cols>
  <sheetData>
    <row r="1" spans="1:11" x14ac:dyDescent="0.3">
      <c r="A1" s="3" t="s">
        <v>4</v>
      </c>
      <c r="B1" s="3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</row>
    <row r="2" spans="1:11" x14ac:dyDescent="0.3">
      <c r="A2" s="3" t="s">
        <v>5</v>
      </c>
      <c r="B2" s="3">
        <v>0.4</v>
      </c>
      <c r="C2" s="3">
        <v>0.5</v>
      </c>
      <c r="D2" s="3">
        <v>0.3</v>
      </c>
      <c r="E2" s="3">
        <v>0.4</v>
      </c>
      <c r="F2" s="3">
        <v>0.8</v>
      </c>
      <c r="G2" s="3">
        <v>1.1000000000000001</v>
      </c>
      <c r="H2" s="3">
        <v>1.4</v>
      </c>
      <c r="I2" s="3">
        <v>1.5</v>
      </c>
      <c r="J2" s="3">
        <v>1.4</v>
      </c>
      <c r="K2" s="3">
        <v>2.9</v>
      </c>
    </row>
    <row r="3" spans="1:11" x14ac:dyDescent="0.3">
      <c r="A3" s="3" t="s">
        <v>6</v>
      </c>
      <c r="B3" s="3">
        <v>1.6</v>
      </c>
      <c r="C3" s="3">
        <v>4.5999999999999996</v>
      </c>
      <c r="D3" s="3">
        <v>41.8</v>
      </c>
      <c r="E3" s="3">
        <v>52.6</v>
      </c>
      <c r="F3" s="3">
        <v>67</v>
      </c>
      <c r="G3" s="3">
        <v>110</v>
      </c>
      <c r="H3" s="3">
        <v>83.8</v>
      </c>
      <c r="I3" s="3">
        <v>218.7</v>
      </c>
      <c r="J3" s="3">
        <v>227.2</v>
      </c>
      <c r="K3" s="3">
        <v>268.60000000000002</v>
      </c>
    </row>
    <row r="4" spans="1:11" x14ac:dyDescent="0.3">
      <c r="A4" s="3" t="s">
        <v>7</v>
      </c>
      <c r="B4" s="3">
        <v>23.7</v>
      </c>
      <c r="C4" s="3">
        <v>25.1</v>
      </c>
      <c r="D4" s="3">
        <v>30.6</v>
      </c>
      <c r="E4" s="3">
        <v>70.099999999999994</v>
      </c>
      <c r="F4" s="3">
        <v>90.9</v>
      </c>
      <c r="G4" s="3">
        <v>138.9</v>
      </c>
      <c r="H4" s="3">
        <v>188.2</v>
      </c>
      <c r="I4" s="3">
        <v>331.1</v>
      </c>
      <c r="J4" s="3">
        <v>286.89999999999998</v>
      </c>
      <c r="K4" s="3">
        <v>350.8</v>
      </c>
    </row>
    <row r="5" spans="1:11" x14ac:dyDescent="0.3">
      <c r="A5" s="3" t="s">
        <v>8</v>
      </c>
      <c r="B5" s="3">
        <v>0.2</v>
      </c>
      <c r="C5" s="3">
        <v>1.1000000000000001</v>
      </c>
      <c r="D5" s="3">
        <v>3.7</v>
      </c>
      <c r="E5" s="3">
        <v>9</v>
      </c>
      <c r="F5" s="3">
        <v>3.3</v>
      </c>
      <c r="G5" s="3">
        <v>10.1</v>
      </c>
      <c r="H5" s="3">
        <v>12.1</v>
      </c>
      <c r="I5" s="3">
        <v>12.1</v>
      </c>
      <c r="J5" s="3">
        <v>8.3000000000000007</v>
      </c>
      <c r="K5" s="3">
        <v>6.8</v>
      </c>
    </row>
    <row r="6" spans="1:11" x14ac:dyDescent="0.3">
      <c r="A6" s="3" t="s">
        <v>9</v>
      </c>
      <c r="B6" s="3">
        <v>7.4</v>
      </c>
      <c r="C6" s="3">
        <v>14.7</v>
      </c>
      <c r="D6" s="3">
        <v>22.1</v>
      </c>
      <c r="E6" s="3">
        <v>52.2</v>
      </c>
      <c r="F6" s="3">
        <v>43.1</v>
      </c>
      <c r="G6" s="3">
        <v>77.099999999999994</v>
      </c>
      <c r="H6" s="3">
        <v>72.5</v>
      </c>
      <c r="I6" s="3">
        <v>123.2</v>
      </c>
      <c r="J6" s="3">
        <v>95.5</v>
      </c>
      <c r="K6" s="3">
        <v>80.2</v>
      </c>
    </row>
    <row r="7" spans="1:11" x14ac:dyDescent="0.3">
      <c r="A7" s="3" t="s">
        <v>3</v>
      </c>
      <c r="B7" s="3">
        <v>4.5</v>
      </c>
      <c r="C7" s="3">
        <v>3.1</v>
      </c>
      <c r="D7" s="3">
        <v>4.7</v>
      </c>
      <c r="E7" s="3">
        <v>3.4</v>
      </c>
      <c r="F7" s="3">
        <v>4.7</v>
      </c>
      <c r="G7" s="3">
        <v>6.1</v>
      </c>
      <c r="H7" s="3">
        <v>2.9</v>
      </c>
      <c r="I7" s="3">
        <v>18.2</v>
      </c>
      <c r="J7" s="3">
        <v>29.7</v>
      </c>
      <c r="K7" s="3">
        <v>16.600000000000001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G14" sqref="G14"/>
    </sheetView>
  </sheetViews>
  <sheetFormatPr baseColWidth="10" defaultColWidth="8.88671875" defaultRowHeight="14.4" x14ac:dyDescent="0.3"/>
  <cols>
    <col min="1" max="1" width="14.44140625" style="3" customWidth="1"/>
    <col min="2" max="16384" width="8.88671875" style="3"/>
  </cols>
  <sheetData>
    <row r="1" spans="1:11" x14ac:dyDescent="0.3">
      <c r="A1" s="3" t="s">
        <v>17</v>
      </c>
      <c r="B1" s="3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</row>
    <row r="2" spans="1:11" x14ac:dyDescent="0.3">
      <c r="A2" s="3" t="s">
        <v>10</v>
      </c>
      <c r="B2" s="3">
        <v>18.3</v>
      </c>
      <c r="C2" s="3">
        <v>23.8</v>
      </c>
      <c r="D2" s="3">
        <v>33.200000000000003</v>
      </c>
      <c r="E2" s="3">
        <v>53</v>
      </c>
      <c r="F2" s="3">
        <v>53.7</v>
      </c>
      <c r="G2" s="3">
        <v>87.6</v>
      </c>
      <c r="H2" s="3">
        <v>105.4</v>
      </c>
      <c r="I2" s="3">
        <v>206.7</v>
      </c>
      <c r="J2" s="3">
        <v>166.5</v>
      </c>
      <c r="K2" s="3">
        <v>206.5</v>
      </c>
    </row>
    <row r="3" spans="1:11" x14ac:dyDescent="0.3">
      <c r="A3" s="3" t="s">
        <v>11</v>
      </c>
      <c r="B3" s="3">
        <v>7.7</v>
      </c>
      <c r="C3" s="3">
        <v>8.6999999999999993</v>
      </c>
      <c r="D3" s="3">
        <v>18.100000000000001</v>
      </c>
      <c r="E3" s="3">
        <v>47.5</v>
      </c>
      <c r="F3" s="3">
        <v>48.3</v>
      </c>
      <c r="G3" s="3">
        <v>82.4</v>
      </c>
      <c r="H3" s="3">
        <v>84.2</v>
      </c>
      <c r="I3" s="3">
        <v>169.6</v>
      </c>
      <c r="J3" s="3">
        <v>126.7</v>
      </c>
      <c r="K3" s="3">
        <v>107.7</v>
      </c>
    </row>
    <row r="4" spans="1:11" x14ac:dyDescent="0.3">
      <c r="A4" s="3" t="s">
        <v>12</v>
      </c>
      <c r="B4" s="3">
        <v>4.2</v>
      </c>
      <c r="C4" s="3">
        <v>6</v>
      </c>
      <c r="D4" s="3">
        <v>12.7</v>
      </c>
      <c r="E4" s="3">
        <v>23.9</v>
      </c>
      <c r="F4" s="3">
        <v>30.7</v>
      </c>
      <c r="G4" s="3">
        <v>53.1</v>
      </c>
      <c r="H4" s="3">
        <v>67.8</v>
      </c>
      <c r="I4" s="3">
        <v>97.9</v>
      </c>
      <c r="J4" s="3">
        <v>95.8</v>
      </c>
      <c r="K4" s="3">
        <v>126.8</v>
      </c>
    </row>
    <row r="5" spans="1:11" x14ac:dyDescent="0.3">
      <c r="A5" s="3" t="s">
        <v>13</v>
      </c>
      <c r="B5" s="3">
        <v>2.9</v>
      </c>
      <c r="C5" s="3">
        <v>4</v>
      </c>
      <c r="D5" s="3">
        <v>10.7</v>
      </c>
      <c r="E5" s="3">
        <v>20</v>
      </c>
      <c r="F5" s="3">
        <v>20.399999999999999</v>
      </c>
      <c r="G5" s="3">
        <v>25</v>
      </c>
      <c r="H5" s="3">
        <v>18.399999999999999</v>
      </c>
      <c r="I5" s="3">
        <v>35.9</v>
      </c>
      <c r="J5" s="3">
        <v>35</v>
      </c>
      <c r="K5" s="3">
        <v>32.5</v>
      </c>
    </row>
    <row r="6" spans="1:11" x14ac:dyDescent="0.3">
      <c r="A6" s="3" t="s">
        <v>14</v>
      </c>
      <c r="B6" s="3">
        <v>1.2</v>
      </c>
      <c r="C6" s="3">
        <v>1.6</v>
      </c>
      <c r="D6" s="3">
        <v>4.4000000000000004</v>
      </c>
      <c r="E6" s="3">
        <v>6.1</v>
      </c>
      <c r="F6" s="3">
        <v>7.6</v>
      </c>
      <c r="G6" s="3">
        <v>10</v>
      </c>
      <c r="H6" s="3">
        <v>7.9</v>
      </c>
      <c r="I6" s="3">
        <v>25.2</v>
      </c>
      <c r="J6" s="3">
        <v>24.6</v>
      </c>
      <c r="K6" s="3">
        <v>29.8</v>
      </c>
    </row>
    <row r="7" spans="1:11" x14ac:dyDescent="0.3">
      <c r="A7" s="3" t="s">
        <v>28</v>
      </c>
      <c r="B7" s="3">
        <v>1.5</v>
      </c>
      <c r="C7" s="3">
        <v>0.6</v>
      </c>
      <c r="D7" s="3">
        <v>1.7</v>
      </c>
      <c r="E7" s="3">
        <v>5.3</v>
      </c>
      <c r="F7" s="3">
        <v>7.3</v>
      </c>
      <c r="G7" s="3">
        <v>9</v>
      </c>
      <c r="H7" s="3">
        <v>15.3</v>
      </c>
      <c r="I7" s="3">
        <v>30.4</v>
      </c>
      <c r="J7" s="3">
        <v>27.5</v>
      </c>
      <c r="K7" s="3">
        <v>37.1</v>
      </c>
    </row>
    <row r="8" spans="1:11" x14ac:dyDescent="0.3">
      <c r="A8" s="3" t="s">
        <v>15</v>
      </c>
      <c r="C8" s="3">
        <v>0.7</v>
      </c>
      <c r="D8" s="3">
        <v>0.1</v>
      </c>
      <c r="E8" s="3">
        <v>0.2</v>
      </c>
      <c r="F8" s="3">
        <v>0.8</v>
      </c>
      <c r="G8" s="3">
        <v>1.9</v>
      </c>
      <c r="H8" s="3">
        <v>1.4</v>
      </c>
      <c r="I8" s="3">
        <v>7.9</v>
      </c>
      <c r="J8" s="3">
        <v>4.3</v>
      </c>
      <c r="K8" s="3">
        <v>11.3</v>
      </c>
    </row>
    <row r="9" spans="1:11" x14ac:dyDescent="0.3">
      <c r="A9" s="3" t="s">
        <v>16</v>
      </c>
      <c r="F9" s="3">
        <v>0.1</v>
      </c>
      <c r="G9" s="3">
        <v>1.9</v>
      </c>
      <c r="H9" s="3">
        <v>1.5</v>
      </c>
      <c r="I9" s="3">
        <v>5.2</v>
      </c>
      <c r="J9" s="3">
        <v>6.6</v>
      </c>
      <c r="K9" s="3">
        <v>13.3</v>
      </c>
    </row>
    <row r="10" spans="1:11" x14ac:dyDescent="0.3">
      <c r="A10" s="3" t="s">
        <v>29</v>
      </c>
      <c r="B10" s="3">
        <v>1.2</v>
      </c>
      <c r="C10" s="3">
        <v>1</v>
      </c>
      <c r="D10" s="3">
        <v>3.9</v>
      </c>
      <c r="E10" s="3">
        <v>3.5</v>
      </c>
      <c r="F10" s="3">
        <v>3.5</v>
      </c>
      <c r="G10" s="3">
        <v>2.6</v>
      </c>
      <c r="H10" s="3">
        <v>2.4</v>
      </c>
      <c r="I10" s="3">
        <v>11.8</v>
      </c>
      <c r="J10" s="3">
        <v>20.100000000000001</v>
      </c>
      <c r="K10" s="3">
        <v>22.6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tabSelected="1" workbookViewId="0">
      <selection activeCell="E24" sqref="E24"/>
    </sheetView>
  </sheetViews>
  <sheetFormatPr baseColWidth="10" defaultColWidth="8.88671875" defaultRowHeight="14.4" x14ac:dyDescent="0.3"/>
  <cols>
    <col min="1" max="1" width="20.77734375" style="3" customWidth="1"/>
    <col min="2" max="16384" width="8.88671875" style="3"/>
  </cols>
  <sheetData>
    <row r="1" spans="1:11" x14ac:dyDescent="0.3">
      <c r="A1" s="3" t="s">
        <v>18</v>
      </c>
      <c r="B1" s="3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</row>
    <row r="2" spans="1:11" x14ac:dyDescent="0.3">
      <c r="A2" s="3" t="s">
        <v>25</v>
      </c>
      <c r="B2" s="3">
        <v>21.3</v>
      </c>
      <c r="C2" s="3">
        <v>28.8</v>
      </c>
      <c r="D2" s="3">
        <v>55</v>
      </c>
      <c r="E2" s="3">
        <v>69</v>
      </c>
      <c r="F2" s="3">
        <v>85.1</v>
      </c>
      <c r="G2" s="3">
        <v>122.6</v>
      </c>
      <c r="H2" s="3">
        <v>114.2</v>
      </c>
      <c r="I2" s="3">
        <v>249.89999999999998</v>
      </c>
      <c r="J2" s="3">
        <v>251.8</v>
      </c>
      <c r="K2" s="3">
        <v>274.90000000000003</v>
      </c>
    </row>
    <row r="3" spans="1:11" x14ac:dyDescent="0.3">
      <c r="A3" s="3" t="s">
        <v>26</v>
      </c>
      <c r="B3" s="3">
        <v>5.2</v>
      </c>
      <c r="C3" s="3">
        <v>11.2</v>
      </c>
      <c r="D3" s="3">
        <v>27</v>
      </c>
      <c r="E3" s="3">
        <v>76.5</v>
      </c>
      <c r="F3" s="3">
        <v>66</v>
      </c>
      <c r="G3" s="3">
        <v>100.30000000000001</v>
      </c>
      <c r="H3" s="3">
        <v>131.4</v>
      </c>
      <c r="I3" s="3">
        <v>215.7</v>
      </c>
      <c r="J3" s="3">
        <v>213.2</v>
      </c>
      <c r="K3" s="3">
        <v>234.7</v>
      </c>
    </row>
    <row r="4" spans="1:11" x14ac:dyDescent="0.3">
      <c r="A4" s="3" t="s">
        <v>27</v>
      </c>
      <c r="B4" s="3">
        <v>11.4</v>
      </c>
      <c r="C4" s="3">
        <v>9</v>
      </c>
      <c r="D4" s="3">
        <v>21.1</v>
      </c>
      <c r="E4" s="3">
        <v>42.2</v>
      </c>
      <c r="F4" s="3">
        <v>58.6</v>
      </c>
      <c r="G4" s="3">
        <v>120.5</v>
      </c>
      <c r="H4" s="3">
        <v>115.2</v>
      </c>
      <c r="I4" s="3">
        <v>239.2</v>
      </c>
      <c r="J4" s="3">
        <v>183.9</v>
      </c>
      <c r="K4" s="3">
        <v>216.2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workbookViewId="0">
      <selection activeCell="C24" sqref="C24:D24"/>
    </sheetView>
  </sheetViews>
  <sheetFormatPr baseColWidth="10" defaultColWidth="8.88671875" defaultRowHeight="14.4" x14ac:dyDescent="0.3"/>
  <cols>
    <col min="1" max="1" width="25.109375" style="3" customWidth="1"/>
    <col min="2" max="16384" width="8.88671875" style="3"/>
  </cols>
  <sheetData>
    <row r="1" spans="1:11" x14ac:dyDescent="0.3">
      <c r="A1" s="7" t="s">
        <v>18</v>
      </c>
      <c r="B1" s="5">
        <v>2014</v>
      </c>
      <c r="C1" s="5">
        <v>2015</v>
      </c>
      <c r="D1" s="5">
        <v>2016</v>
      </c>
      <c r="E1" s="5">
        <v>2017</v>
      </c>
      <c r="F1" s="5">
        <v>2018</v>
      </c>
      <c r="G1" s="5">
        <v>2019</v>
      </c>
      <c r="H1" s="5">
        <v>2020</v>
      </c>
      <c r="I1" s="5">
        <v>2021</v>
      </c>
      <c r="J1" s="5">
        <v>2022</v>
      </c>
      <c r="K1" s="4">
        <v>2023</v>
      </c>
    </row>
    <row r="2" spans="1:11" x14ac:dyDescent="0.3">
      <c r="A2" s="8" t="s">
        <v>19</v>
      </c>
      <c r="B2" s="9">
        <v>16.100000000000001</v>
      </c>
      <c r="C2" s="9">
        <v>15.9</v>
      </c>
      <c r="D2" s="9">
        <v>22.8</v>
      </c>
      <c r="E2" s="9">
        <v>24.7</v>
      </c>
      <c r="F2" s="9">
        <v>18.8</v>
      </c>
      <c r="G2" s="9">
        <v>29.8</v>
      </c>
      <c r="H2" s="9">
        <v>29.5</v>
      </c>
      <c r="I2" s="9">
        <v>57.8</v>
      </c>
      <c r="J2" s="9">
        <v>48.8</v>
      </c>
      <c r="K2" s="6">
        <v>51.1</v>
      </c>
    </row>
    <row r="3" spans="1:11" x14ac:dyDescent="0.3">
      <c r="A3" s="8" t="s">
        <v>20</v>
      </c>
      <c r="B3" s="9">
        <v>5.2</v>
      </c>
      <c r="C3" s="9">
        <v>12.9</v>
      </c>
      <c r="D3" s="9">
        <v>32.200000000000003</v>
      </c>
      <c r="E3" s="9">
        <v>44.3</v>
      </c>
      <c r="F3" s="9">
        <v>66.3</v>
      </c>
      <c r="G3" s="9">
        <v>92.8</v>
      </c>
      <c r="H3" s="9">
        <v>84.7</v>
      </c>
      <c r="I3" s="9">
        <v>192.1</v>
      </c>
      <c r="J3" s="9">
        <v>203</v>
      </c>
      <c r="K3" s="6">
        <v>223.8</v>
      </c>
    </row>
    <row r="4" spans="1:11" x14ac:dyDescent="0.3">
      <c r="A4" s="8" t="s">
        <v>21</v>
      </c>
      <c r="B4" s="9">
        <v>1.6</v>
      </c>
      <c r="C4" s="9">
        <v>7.2</v>
      </c>
      <c r="D4" s="9">
        <v>22.2</v>
      </c>
      <c r="E4" s="9">
        <v>56.2</v>
      </c>
      <c r="F4" s="9">
        <v>38.9</v>
      </c>
      <c r="G4" s="9">
        <v>63</v>
      </c>
      <c r="H4" s="9">
        <v>79.3</v>
      </c>
      <c r="I4" s="9">
        <v>104.3</v>
      </c>
      <c r="J4" s="9">
        <v>117.1</v>
      </c>
      <c r="K4" s="6">
        <v>96.5</v>
      </c>
    </row>
    <row r="5" spans="1:11" x14ac:dyDescent="0.3">
      <c r="A5" s="8" t="s">
        <v>22</v>
      </c>
      <c r="B5" s="9">
        <v>3.6</v>
      </c>
      <c r="C5" s="9">
        <v>4</v>
      </c>
      <c r="D5" s="9">
        <v>4</v>
      </c>
      <c r="E5" s="9">
        <v>9.5</v>
      </c>
      <c r="F5" s="9">
        <v>9.5</v>
      </c>
      <c r="G5" s="9">
        <v>10.4</v>
      </c>
      <c r="H5" s="9">
        <v>13.5</v>
      </c>
      <c r="I5" s="9">
        <v>19.2</v>
      </c>
      <c r="J5" s="9">
        <v>13.2</v>
      </c>
      <c r="K5" s="6">
        <v>15.6</v>
      </c>
    </row>
    <row r="6" spans="1:11" x14ac:dyDescent="0.3">
      <c r="A6" s="8" t="s">
        <v>23</v>
      </c>
      <c r="B6" s="9">
        <v>11.4</v>
      </c>
      <c r="C6" s="9">
        <v>9</v>
      </c>
      <c r="D6" s="9">
        <v>21.1</v>
      </c>
      <c r="E6" s="9">
        <v>42.2</v>
      </c>
      <c r="F6" s="9">
        <v>58.6</v>
      </c>
      <c r="G6" s="9">
        <v>120.5</v>
      </c>
      <c r="H6" s="9">
        <v>115.2</v>
      </c>
      <c r="I6" s="9">
        <v>239.2</v>
      </c>
      <c r="J6" s="9">
        <v>183.9</v>
      </c>
      <c r="K6" s="6">
        <v>216.2</v>
      </c>
    </row>
    <row r="7" spans="1:11" ht="15" thickBot="1" x14ac:dyDescent="0.35">
      <c r="A7" s="10" t="s">
        <v>24</v>
      </c>
      <c r="B7" s="11"/>
      <c r="C7" s="11"/>
      <c r="D7" s="11">
        <v>0.8</v>
      </c>
      <c r="E7" s="11">
        <v>10.8</v>
      </c>
      <c r="F7" s="11">
        <v>17.600000000000001</v>
      </c>
      <c r="G7" s="11">
        <v>26.9</v>
      </c>
      <c r="H7" s="11">
        <v>38.6</v>
      </c>
      <c r="I7" s="11">
        <v>92.2</v>
      </c>
      <c r="J7" s="11">
        <v>82.9</v>
      </c>
      <c r="K7" s="12">
        <v>122.6</v>
      </c>
    </row>
    <row r="8" spans="1:11" ht="15" thickBot="1" x14ac:dyDescent="0.35">
      <c r="A8" s="13" t="s">
        <v>30</v>
      </c>
      <c r="B8" s="2">
        <f>SUM(B2:B7)</f>
        <v>37.900000000000006</v>
      </c>
      <c r="C8" s="2">
        <f t="shared" ref="C8:K8" si="0">SUM(C2:C7)</f>
        <v>49</v>
      </c>
      <c r="D8" s="2">
        <f t="shared" si="0"/>
        <v>103.10000000000001</v>
      </c>
      <c r="E8" s="2">
        <f t="shared" si="0"/>
        <v>187.7</v>
      </c>
      <c r="F8" s="2">
        <f t="shared" si="0"/>
        <v>209.7</v>
      </c>
      <c r="G8" s="2">
        <f t="shared" si="0"/>
        <v>343.4</v>
      </c>
      <c r="H8" s="2">
        <f t="shared" si="0"/>
        <v>360.8</v>
      </c>
      <c r="I8" s="2">
        <f t="shared" si="0"/>
        <v>704.8</v>
      </c>
      <c r="J8" s="2">
        <f t="shared" si="0"/>
        <v>648.9</v>
      </c>
      <c r="K8" s="1">
        <f t="shared" si="0"/>
        <v>725.80000000000007</v>
      </c>
    </row>
    <row r="9" spans="1:11" x14ac:dyDescent="0.3">
      <c r="A9" s="7" t="s">
        <v>25</v>
      </c>
      <c r="B9" s="5">
        <f>B2+B3</f>
        <v>21.3</v>
      </c>
      <c r="C9" s="5">
        <f t="shared" ref="C9:K9" si="1">C2+C3</f>
        <v>28.8</v>
      </c>
      <c r="D9" s="5">
        <f t="shared" si="1"/>
        <v>55</v>
      </c>
      <c r="E9" s="5">
        <f t="shared" si="1"/>
        <v>69</v>
      </c>
      <c r="F9" s="5">
        <f t="shared" si="1"/>
        <v>85.1</v>
      </c>
      <c r="G9" s="5">
        <f t="shared" si="1"/>
        <v>122.6</v>
      </c>
      <c r="H9" s="5">
        <f t="shared" si="1"/>
        <v>114.2</v>
      </c>
      <c r="I9" s="5">
        <f t="shared" si="1"/>
        <v>249.89999999999998</v>
      </c>
      <c r="J9" s="5">
        <f t="shared" si="1"/>
        <v>251.8</v>
      </c>
      <c r="K9" s="4">
        <f t="shared" si="1"/>
        <v>274.90000000000003</v>
      </c>
    </row>
    <row r="10" spans="1:11" x14ac:dyDescent="0.3">
      <c r="A10" s="8" t="s">
        <v>26</v>
      </c>
      <c r="B10" s="9">
        <f>B5+B4+B7</f>
        <v>5.2</v>
      </c>
      <c r="C10" s="9">
        <f t="shared" ref="C10:K10" si="2">C5+C4+C7</f>
        <v>11.2</v>
      </c>
      <c r="D10" s="9">
        <f t="shared" si="2"/>
        <v>27</v>
      </c>
      <c r="E10" s="9">
        <f t="shared" si="2"/>
        <v>76.5</v>
      </c>
      <c r="F10" s="9">
        <f t="shared" si="2"/>
        <v>66</v>
      </c>
      <c r="G10" s="9">
        <f t="shared" si="2"/>
        <v>100.30000000000001</v>
      </c>
      <c r="H10" s="9">
        <f t="shared" si="2"/>
        <v>131.4</v>
      </c>
      <c r="I10" s="9">
        <f t="shared" si="2"/>
        <v>215.7</v>
      </c>
      <c r="J10" s="9">
        <f t="shared" si="2"/>
        <v>213.2</v>
      </c>
      <c r="K10" s="6">
        <f t="shared" si="2"/>
        <v>234.7</v>
      </c>
    </row>
    <row r="11" spans="1:11" ht="15" thickBot="1" x14ac:dyDescent="0.35">
      <c r="A11" s="8" t="s">
        <v>27</v>
      </c>
      <c r="B11" s="9">
        <f>B6</f>
        <v>11.4</v>
      </c>
      <c r="C11" s="9">
        <f t="shared" ref="C11:K11" si="3">C6</f>
        <v>9</v>
      </c>
      <c r="D11" s="9">
        <f t="shared" si="3"/>
        <v>21.1</v>
      </c>
      <c r="E11" s="9">
        <f t="shared" si="3"/>
        <v>42.2</v>
      </c>
      <c r="F11" s="9">
        <f t="shared" si="3"/>
        <v>58.6</v>
      </c>
      <c r="G11" s="9">
        <f t="shared" si="3"/>
        <v>120.5</v>
      </c>
      <c r="H11" s="9">
        <f t="shared" si="3"/>
        <v>115.2</v>
      </c>
      <c r="I11" s="9">
        <f t="shared" si="3"/>
        <v>239.2</v>
      </c>
      <c r="J11" s="9">
        <f t="shared" si="3"/>
        <v>183.9</v>
      </c>
      <c r="K11" s="6">
        <f t="shared" si="3"/>
        <v>216.2</v>
      </c>
    </row>
    <row r="12" spans="1:11" ht="15" thickBot="1" x14ac:dyDescent="0.35">
      <c r="A12" s="13" t="s">
        <v>30</v>
      </c>
      <c r="B12" s="2">
        <f>SUM(B9:B11)</f>
        <v>37.9</v>
      </c>
      <c r="C12" s="2">
        <f t="shared" ref="C12:K12" si="4">SUM(C9:C11)</f>
        <v>49</v>
      </c>
      <c r="D12" s="2">
        <f t="shared" si="4"/>
        <v>103.1</v>
      </c>
      <c r="E12" s="2">
        <f t="shared" si="4"/>
        <v>187.7</v>
      </c>
      <c r="F12" s="2">
        <f t="shared" si="4"/>
        <v>209.7</v>
      </c>
      <c r="G12" s="2">
        <f t="shared" si="4"/>
        <v>343.4</v>
      </c>
      <c r="H12" s="2">
        <f t="shared" si="4"/>
        <v>360.8</v>
      </c>
      <c r="I12" s="2">
        <f t="shared" si="4"/>
        <v>704.8</v>
      </c>
      <c r="J12" s="2">
        <f t="shared" si="4"/>
        <v>648.9</v>
      </c>
      <c r="K12" s="1">
        <f t="shared" si="4"/>
        <v>725.8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GB1</vt:lpstr>
      <vt:lpstr>GB2</vt:lpstr>
      <vt:lpstr>GB3</vt:lpstr>
      <vt:lpstr>GB5</vt:lpstr>
      <vt:lpstr>GB4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Thierry Roncalli</cp:lastModifiedBy>
  <dcterms:created xsi:type="dcterms:W3CDTF">2022-12-26T13:30:56Z</dcterms:created>
  <dcterms:modified xsi:type="dcterms:W3CDTF">2024-04-23T20:42:21Z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2022-12-26T13:30:36Z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5d5f729a-2f73-4462-9ec4-61f76c4f06b6</vt:lpwstr>
  </property>
  <property fmtid="{D5CDD505-2E9C-101B-9397-08002B2CF9AE}" pid="8" name="MSIP_Label_6ac45191-74e4-40a9-a4c5-ab5c9391e33a_ContentBits">
    <vt:lpwstr>0</vt:lpwstr>
  </property>
</Properties>
</file>