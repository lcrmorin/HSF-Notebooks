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4. ESG Products\Data\"/>
    </mc:Choice>
  </mc:AlternateContent>
  <xr:revisionPtr revIDLastSave="0" documentId="13_ncr:1_{F7D63383-6086-43E0-8D16-5254238CD85D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PRI signatories" sheetId="1" r:id="rId1"/>
    <sheet name="Article 8 funds" sheetId="2" r:id="rId2"/>
    <sheet name="Impact AUM" sheetId="3" r:id="rId3"/>
    <sheet name="Impact Fundraising" sheetId="4" r:id="rId4"/>
    <sheet name="Impact funds" sheetId="5" r:id="rId5"/>
    <sheet name="Top 1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6" l="1"/>
  <c r="C12" i="6"/>
  <c r="E8" i="5"/>
  <c r="D8" i="5"/>
  <c r="C8" i="5"/>
  <c r="B8" i="5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2" i="3"/>
  <c r="E8" i="2"/>
  <c r="D8" i="2"/>
  <c r="C8" i="2"/>
  <c r="B8" i="2"/>
</calcChain>
</file>

<file path=xl/sharedStrings.xml><?xml version="1.0" encoding="utf-8"?>
<sst xmlns="http://schemas.openxmlformats.org/spreadsheetml/2006/main" count="57" uniqueCount="41">
  <si>
    <t>New signatories</t>
  </si>
  <si>
    <t>Total signatories</t>
  </si>
  <si>
    <t>Date</t>
  </si>
  <si>
    <t>Number of funds</t>
  </si>
  <si>
    <t>Assets raised</t>
  </si>
  <si>
    <t>Private equity</t>
  </si>
  <si>
    <t>Venture capital</t>
  </si>
  <si>
    <t>Private debt</t>
  </si>
  <si>
    <t>Real estate</t>
  </si>
  <si>
    <t>Article 8 funds</t>
  </si>
  <si>
    <t>Private markets</t>
  </si>
  <si>
    <t>Category</t>
  </si>
  <si>
    <t>Dry powder</t>
  </si>
  <si>
    <t>Remaining value</t>
  </si>
  <si>
    <t>Total</t>
  </si>
  <si>
    <t>Capital raised ($B)</t>
  </si>
  <si>
    <t>Fund count</t>
  </si>
  <si>
    <t>Impact</t>
  </si>
  <si>
    <t>Real assets</t>
  </si>
  <si>
    <t>Investor</t>
  </si>
  <si>
    <t>EQT</t>
  </si>
  <si>
    <t>Stonepeak</t>
  </si>
  <si>
    <t>Actis</t>
  </si>
  <si>
    <t>Brookfield Corporation</t>
  </si>
  <si>
    <t>Global Infrastructure Partners</t>
  </si>
  <si>
    <t>Macquarie Asset Management</t>
  </si>
  <si>
    <t>Kohlberg Kravis Roberts</t>
  </si>
  <si>
    <t>China Development Bank</t>
  </si>
  <si>
    <t>Copenhagen Infrastructure Partners</t>
  </si>
  <si>
    <t>I Squared Capital</t>
  </si>
  <si>
    <t>Investor HQ location</t>
  </si>
  <si>
    <t>Ontario, Canada</t>
  </si>
  <si>
    <t>New York, US</t>
  </si>
  <si>
    <t>New South Wales, Australia</t>
  </si>
  <si>
    <t>Stockholm, Sweden</t>
  </si>
  <si>
    <t>Beijing, China</t>
  </si>
  <si>
    <t>England, UK</t>
  </si>
  <si>
    <t>Copenhagen, Denmark</t>
  </si>
  <si>
    <t>Miami, US</t>
  </si>
  <si>
    <t xml:space="preserve"> Aggregate capital</t>
  </si>
  <si>
    <t>Number of impact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</si>
</sst>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/>
      <top/>
      <bottom style="thin">
        <color theme="0" tint="-0.14999847407452621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2" borderId="1" applyNumberFormat="0">
      <alignment horizontal="left"/>
    </xf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0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5" applyNumberFormat="1" applyFon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Currency 2 2 2" xfId="3" xr:uid="{4654CEC2-1E18-498A-858B-1A4F4730B76D}"/>
    <cellStyle name="Data cell (odd row)" xfId="4" xr:uid="{966CB5F9-614D-46A0-A9D5-484E050FDB4E}"/>
    <cellStyle name="Normal" xfId="0" builtinId="0"/>
    <cellStyle name="Normal 6" xfId="1" xr:uid="{8BC97A53-B8F0-4666-BF7A-9FDD594EAE59}"/>
    <cellStyle name="Percent 6" xfId="2" xr:uid="{232E4105-382F-4230-8530-F9B868C2C7D0}"/>
    <cellStyle name="Pourcentage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10.5546875" bestFit="1" customWidth="1"/>
    <col min="2" max="2" width="13.77734375" style="1" customWidth="1"/>
    <col min="3" max="3" width="17.88671875" style="1" customWidth="1"/>
  </cols>
  <sheetData>
    <row r="1" spans="1:3" x14ac:dyDescent="0.3">
      <c r="A1" t="s">
        <v>2</v>
      </c>
      <c r="B1" s="1" t="s">
        <v>0</v>
      </c>
      <c r="C1" s="1" t="s">
        <v>1</v>
      </c>
    </row>
    <row r="2" spans="1:3" x14ac:dyDescent="0.3">
      <c r="A2" s="2">
        <v>43190</v>
      </c>
      <c r="B2" s="1">
        <v>29</v>
      </c>
      <c r="C2" s="1">
        <v>688</v>
      </c>
    </row>
    <row r="3" spans="1:3" x14ac:dyDescent="0.3">
      <c r="A3" s="2">
        <v>43281</v>
      </c>
      <c r="B3" s="1">
        <v>40</v>
      </c>
      <c r="C3" s="1">
        <v>728</v>
      </c>
    </row>
    <row r="4" spans="1:3" x14ac:dyDescent="0.3">
      <c r="A4" s="2">
        <v>43373</v>
      </c>
      <c r="B4" s="1">
        <v>51</v>
      </c>
      <c r="C4" s="1">
        <v>779</v>
      </c>
    </row>
    <row r="5" spans="1:3" x14ac:dyDescent="0.3">
      <c r="A5" s="2">
        <v>43465</v>
      </c>
      <c r="B5" s="1">
        <v>39</v>
      </c>
      <c r="C5" s="1">
        <v>818</v>
      </c>
    </row>
    <row r="6" spans="1:3" x14ac:dyDescent="0.3">
      <c r="A6" s="2">
        <v>43555</v>
      </c>
      <c r="B6" s="1">
        <v>50</v>
      </c>
      <c r="C6" s="1">
        <v>868</v>
      </c>
    </row>
    <row r="7" spans="1:3" x14ac:dyDescent="0.3">
      <c r="A7" s="2">
        <v>43646</v>
      </c>
      <c r="B7" s="1">
        <v>60</v>
      </c>
      <c r="C7" s="1">
        <v>928</v>
      </c>
    </row>
    <row r="8" spans="1:3" x14ac:dyDescent="0.3">
      <c r="A8" s="2">
        <v>43738</v>
      </c>
      <c r="B8" s="1">
        <v>51</v>
      </c>
      <c r="C8" s="1">
        <v>979</v>
      </c>
    </row>
    <row r="9" spans="1:3" x14ac:dyDescent="0.3">
      <c r="A9" s="2">
        <v>43830</v>
      </c>
      <c r="B9" s="1">
        <v>89</v>
      </c>
      <c r="C9" s="1">
        <v>1068</v>
      </c>
    </row>
    <row r="10" spans="1:3" x14ac:dyDescent="0.3">
      <c r="A10" s="2">
        <v>43921</v>
      </c>
      <c r="B10" s="1">
        <v>100</v>
      </c>
      <c r="C10" s="1">
        <v>1168</v>
      </c>
    </row>
    <row r="11" spans="1:3" x14ac:dyDescent="0.3">
      <c r="A11" s="2">
        <v>44012</v>
      </c>
      <c r="B11" s="1">
        <v>78</v>
      </c>
      <c r="C11" s="1">
        <v>1246</v>
      </c>
    </row>
    <row r="12" spans="1:3" x14ac:dyDescent="0.3">
      <c r="A12" s="2">
        <v>44104</v>
      </c>
      <c r="B12" s="1">
        <v>97</v>
      </c>
      <c r="C12" s="1">
        <v>1343</v>
      </c>
    </row>
    <row r="13" spans="1:3" x14ac:dyDescent="0.3">
      <c r="A13" s="2">
        <v>44196</v>
      </c>
      <c r="B13" s="1">
        <v>101</v>
      </c>
      <c r="C13" s="1">
        <v>1444</v>
      </c>
    </row>
    <row r="14" spans="1:3" x14ac:dyDescent="0.3">
      <c r="A14" s="2">
        <v>44286</v>
      </c>
      <c r="B14" s="1">
        <v>98</v>
      </c>
      <c r="C14" s="1">
        <v>1542</v>
      </c>
    </row>
    <row r="15" spans="1:3" x14ac:dyDescent="0.3">
      <c r="A15" s="2">
        <v>44377</v>
      </c>
      <c r="B15" s="1">
        <v>159</v>
      </c>
      <c r="C15" s="1">
        <v>1701</v>
      </c>
    </row>
    <row r="16" spans="1:3" x14ac:dyDescent="0.3">
      <c r="A16" s="2">
        <v>44469</v>
      </c>
      <c r="B16" s="1">
        <v>103</v>
      </c>
      <c r="C16" s="1">
        <v>1804</v>
      </c>
    </row>
    <row r="17" spans="1:3" x14ac:dyDescent="0.3">
      <c r="A17" s="2">
        <v>44561</v>
      </c>
      <c r="B17" s="1">
        <v>154</v>
      </c>
      <c r="C17" s="1">
        <v>1958</v>
      </c>
    </row>
    <row r="18" spans="1:3" x14ac:dyDescent="0.3">
      <c r="A18" s="2">
        <v>44651</v>
      </c>
      <c r="B18" s="1">
        <v>112</v>
      </c>
      <c r="C18" s="1">
        <v>2070</v>
      </c>
    </row>
    <row r="19" spans="1:3" x14ac:dyDescent="0.3">
      <c r="A19" s="2">
        <v>44742</v>
      </c>
      <c r="B19" s="1">
        <v>102</v>
      </c>
      <c r="C19" s="1">
        <v>2172</v>
      </c>
    </row>
    <row r="20" spans="1:3" x14ac:dyDescent="0.3">
      <c r="A20" s="2">
        <v>44834</v>
      </c>
      <c r="B20" s="1">
        <v>94</v>
      </c>
      <c r="C20" s="1">
        <v>2266</v>
      </c>
    </row>
    <row r="21" spans="1:3" x14ac:dyDescent="0.3">
      <c r="A21" s="2">
        <v>44926</v>
      </c>
      <c r="B21" s="1">
        <v>73</v>
      </c>
      <c r="C21" s="1">
        <v>2339</v>
      </c>
    </row>
    <row r="22" spans="1:3" x14ac:dyDescent="0.3">
      <c r="A22" s="2">
        <v>45016</v>
      </c>
      <c r="B22" s="1">
        <v>54</v>
      </c>
      <c r="C22" s="1">
        <v>2393</v>
      </c>
    </row>
    <row r="23" spans="1:3" x14ac:dyDescent="0.3">
      <c r="A23" s="2">
        <v>45107</v>
      </c>
      <c r="B23" s="1">
        <v>33</v>
      </c>
      <c r="C23" s="1">
        <v>2426</v>
      </c>
    </row>
    <row r="24" spans="1:3" x14ac:dyDescent="0.3">
      <c r="A24" s="2">
        <v>45199</v>
      </c>
      <c r="B24" s="1">
        <v>45</v>
      </c>
      <c r="C24" s="1">
        <v>2471</v>
      </c>
    </row>
    <row r="25" spans="1:3" x14ac:dyDescent="0.3">
      <c r="A25" s="2">
        <v>45291</v>
      </c>
      <c r="B25" s="1">
        <v>32</v>
      </c>
      <c r="C25" s="1">
        <v>2503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583B-D063-4D39-A950-901318A81DAE}">
  <dimension ref="A1:E8"/>
  <sheetViews>
    <sheetView workbookViewId="0">
      <selection activeCell="D1" sqref="D1:E1048576"/>
    </sheetView>
  </sheetViews>
  <sheetFormatPr baseColWidth="10" defaultRowHeight="14.4" x14ac:dyDescent="0.3"/>
  <cols>
    <col min="1" max="1" width="31.88671875" customWidth="1"/>
    <col min="2" max="2" width="17.77734375" customWidth="1"/>
  </cols>
  <sheetData>
    <row r="1" spans="1:5" x14ac:dyDescent="0.3">
      <c r="B1" t="s">
        <v>9</v>
      </c>
      <c r="D1" t="s">
        <v>10</v>
      </c>
    </row>
    <row r="2" spans="1:5" x14ac:dyDescent="0.3">
      <c r="A2" t="s">
        <v>11</v>
      </c>
      <c r="B2" t="s">
        <v>3</v>
      </c>
      <c r="C2" t="s">
        <v>4</v>
      </c>
      <c r="D2" t="s">
        <v>3</v>
      </c>
      <c r="E2" t="s">
        <v>4</v>
      </c>
    </row>
    <row r="3" spans="1:5" x14ac:dyDescent="0.3">
      <c r="A3" t="s">
        <v>5</v>
      </c>
      <c r="B3" s="3">
        <v>0.25800000000000001</v>
      </c>
      <c r="C3" s="3">
        <v>0.34499999999999997</v>
      </c>
      <c r="D3" s="3">
        <v>0.2191511597073825</v>
      </c>
      <c r="E3" s="3">
        <v>0.37620209037976304</v>
      </c>
    </row>
    <row r="4" spans="1:5" x14ac:dyDescent="0.3">
      <c r="A4" t="s">
        <v>6</v>
      </c>
      <c r="B4" s="3">
        <v>0.14599999999999999</v>
      </c>
      <c r="C4" s="3">
        <v>4.3999999999999997E-2</v>
      </c>
      <c r="D4" s="3">
        <v>0.4648656236839232</v>
      </c>
      <c r="E4" s="3">
        <v>0.15963364369681313</v>
      </c>
    </row>
    <row r="5" spans="1:5" x14ac:dyDescent="0.3">
      <c r="A5" t="s">
        <v>7</v>
      </c>
      <c r="B5" s="3">
        <v>0.20499999999999999</v>
      </c>
      <c r="C5" s="3">
        <v>0.16800000000000001</v>
      </c>
      <c r="D5" s="3">
        <v>7.0814680788008302E-2</v>
      </c>
      <c r="E5" s="3">
        <v>0.14464932594874896</v>
      </c>
    </row>
    <row r="6" spans="1:5" x14ac:dyDescent="0.3">
      <c r="A6" t="s">
        <v>8</v>
      </c>
      <c r="B6" s="3">
        <v>0.23200000000000001</v>
      </c>
      <c r="C6" s="3">
        <v>0.14199999999999999</v>
      </c>
      <c r="D6" s="3">
        <v>0.1260314142658826</v>
      </c>
      <c r="E6" s="3">
        <v>0.1234004975928311</v>
      </c>
    </row>
    <row r="7" spans="1:5" x14ac:dyDescent="0.3">
      <c r="A7" t="s">
        <v>18</v>
      </c>
      <c r="B7" s="3">
        <v>0.126</v>
      </c>
      <c r="C7" s="3">
        <v>0.29899999999999999</v>
      </c>
      <c r="D7" s="3">
        <v>4.1615323423437475E-2</v>
      </c>
      <c r="E7" s="3">
        <v>9.6871996524065473E-2</v>
      </c>
    </row>
    <row r="8" spans="1:5" x14ac:dyDescent="0.3">
      <c r="B8" s="3">
        <f>SUM(B3:B7)</f>
        <v>0.96699999999999997</v>
      </c>
      <c r="C8" s="3">
        <f>SUM(C3:C7)</f>
        <v>0.998</v>
      </c>
      <c r="D8" s="3">
        <f>SUM(D3:D7)</f>
        <v>0.92247820186863405</v>
      </c>
      <c r="E8" s="3">
        <f>SUM(E3:E7)</f>
        <v>0.90075755414222169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F7D2-1993-495C-B5BB-AC7C8FFB4C54}">
  <dimension ref="A1:D18"/>
  <sheetViews>
    <sheetView workbookViewId="0">
      <selection activeCell="C1" sqref="C1"/>
    </sheetView>
  </sheetViews>
  <sheetFormatPr baseColWidth="10" defaultRowHeight="14.4" x14ac:dyDescent="0.3"/>
  <cols>
    <col min="2" max="2" width="13" style="1" customWidth="1"/>
    <col min="3" max="3" width="17.109375" style="1" customWidth="1"/>
  </cols>
  <sheetData>
    <row r="1" spans="1:4" x14ac:dyDescent="0.3">
      <c r="A1" t="s">
        <v>2</v>
      </c>
      <c r="B1" s="1" t="s">
        <v>12</v>
      </c>
      <c r="C1" s="1" t="s">
        <v>13</v>
      </c>
      <c r="D1" t="s">
        <v>14</v>
      </c>
    </row>
    <row r="2" spans="1:4" x14ac:dyDescent="0.3">
      <c r="A2">
        <v>2007</v>
      </c>
      <c r="B2" s="5">
        <v>24.771564242844871</v>
      </c>
      <c r="C2" s="5">
        <v>17.551359327598917</v>
      </c>
      <c r="D2" s="4">
        <f>B2+C2</f>
        <v>42.322923570443791</v>
      </c>
    </row>
    <row r="3" spans="1:4" x14ac:dyDescent="0.3">
      <c r="A3">
        <v>2008</v>
      </c>
      <c r="B3" s="5">
        <v>52.722128975084509</v>
      </c>
      <c r="C3" s="5">
        <v>30.699554977677579</v>
      </c>
      <c r="D3" s="4">
        <f t="shared" ref="D3:D18" si="0">B3+C3</f>
        <v>83.421683952762095</v>
      </c>
    </row>
    <row r="4" spans="1:4" x14ac:dyDescent="0.3">
      <c r="A4">
        <v>2009</v>
      </c>
      <c r="B4" s="5">
        <v>55.366463353442477</v>
      </c>
      <c r="C4" s="5">
        <v>46.075735875495624</v>
      </c>
      <c r="D4" s="4">
        <f t="shared" si="0"/>
        <v>101.44219922893811</v>
      </c>
    </row>
    <row r="5" spans="1:4" x14ac:dyDescent="0.3">
      <c r="A5">
        <v>2010</v>
      </c>
      <c r="B5" s="5">
        <v>61.785141531345538</v>
      </c>
      <c r="C5" s="5">
        <v>64.334817528241032</v>
      </c>
      <c r="D5" s="4">
        <f t="shared" si="0"/>
        <v>126.11995905958656</v>
      </c>
    </row>
    <row r="6" spans="1:4" x14ac:dyDescent="0.3">
      <c r="A6">
        <v>2011</v>
      </c>
      <c r="B6" s="5">
        <v>64.979193722657854</v>
      </c>
      <c r="C6" s="5">
        <v>82.184818822452669</v>
      </c>
      <c r="D6" s="4">
        <f t="shared" si="0"/>
        <v>147.16401254511052</v>
      </c>
    </row>
    <row r="7" spans="1:4" x14ac:dyDescent="0.3">
      <c r="A7">
        <v>2012</v>
      </c>
      <c r="B7" s="5">
        <v>76.509525911292798</v>
      </c>
      <c r="C7" s="5">
        <v>104.79090455463921</v>
      </c>
      <c r="D7" s="4">
        <f t="shared" si="0"/>
        <v>181.30043046593201</v>
      </c>
    </row>
    <row r="8" spans="1:4" x14ac:dyDescent="0.3">
      <c r="A8">
        <v>2013</v>
      </c>
      <c r="B8" s="5">
        <v>90.680833854946627</v>
      </c>
      <c r="C8" s="5">
        <v>121.30914459709879</v>
      </c>
      <c r="D8" s="4">
        <f t="shared" si="0"/>
        <v>211.98997845204542</v>
      </c>
    </row>
    <row r="9" spans="1:4" x14ac:dyDescent="0.3">
      <c r="A9">
        <v>2014</v>
      </c>
      <c r="B9" s="5">
        <v>137.23809847461399</v>
      </c>
      <c r="C9" s="5">
        <v>152.11855918906758</v>
      </c>
      <c r="D9" s="4">
        <f t="shared" si="0"/>
        <v>289.35665766368157</v>
      </c>
    </row>
    <row r="10" spans="1:4" x14ac:dyDescent="0.3">
      <c r="A10">
        <v>2015</v>
      </c>
      <c r="B10" s="5">
        <v>171.26961524427003</v>
      </c>
      <c r="C10" s="5">
        <v>191.8419263692586</v>
      </c>
      <c r="D10" s="4">
        <f t="shared" si="0"/>
        <v>363.11154161352863</v>
      </c>
    </row>
    <row r="11" spans="1:4" x14ac:dyDescent="0.3">
      <c r="A11">
        <v>2016</v>
      </c>
      <c r="B11" s="5">
        <v>175.87572781780045</v>
      </c>
      <c r="C11" s="5">
        <v>241.17596464533352</v>
      </c>
      <c r="D11" s="4">
        <f t="shared" si="0"/>
        <v>417.05169246313397</v>
      </c>
    </row>
    <row r="12" spans="1:4" x14ac:dyDescent="0.3">
      <c r="A12">
        <v>2017</v>
      </c>
      <c r="B12" s="5">
        <v>182.68513526057421</v>
      </c>
      <c r="C12" s="5">
        <v>283.8660499048633</v>
      </c>
      <c r="D12" s="4">
        <f t="shared" si="0"/>
        <v>466.55118516543752</v>
      </c>
    </row>
    <row r="13" spans="1:4" x14ac:dyDescent="0.3">
      <c r="A13">
        <v>2018</v>
      </c>
      <c r="B13" s="5">
        <v>228.02899378592252</v>
      </c>
      <c r="C13" s="5">
        <v>355.08463320520531</v>
      </c>
      <c r="D13" s="4">
        <f t="shared" si="0"/>
        <v>583.11362699112783</v>
      </c>
    </row>
    <row r="14" spans="1:4" x14ac:dyDescent="0.3">
      <c r="A14">
        <v>2019</v>
      </c>
      <c r="B14" s="5">
        <v>228.56014593026654</v>
      </c>
      <c r="C14" s="5">
        <v>391.05351897665713</v>
      </c>
      <c r="D14" s="4">
        <f t="shared" si="0"/>
        <v>619.61366490692365</v>
      </c>
    </row>
    <row r="15" spans="1:4" x14ac:dyDescent="0.3">
      <c r="A15">
        <v>2020</v>
      </c>
      <c r="B15" s="5">
        <v>305.64545132494874</v>
      </c>
      <c r="C15" s="5">
        <v>429.55934522390356</v>
      </c>
      <c r="D15" s="4">
        <f t="shared" si="0"/>
        <v>735.2047965488523</v>
      </c>
    </row>
    <row r="16" spans="1:4" x14ac:dyDescent="0.3">
      <c r="A16">
        <v>2021</v>
      </c>
      <c r="B16" s="5">
        <v>298.46057536025234</v>
      </c>
      <c r="C16" s="5">
        <v>543.07327427147357</v>
      </c>
      <c r="D16" s="4">
        <f t="shared" si="0"/>
        <v>841.53384963172584</v>
      </c>
    </row>
    <row r="17" spans="1:4" x14ac:dyDescent="0.3">
      <c r="A17">
        <v>2022</v>
      </c>
      <c r="B17" s="5">
        <v>279.5588507460202</v>
      </c>
      <c r="C17" s="5">
        <v>617.6532176367765</v>
      </c>
      <c r="D17" s="4">
        <f t="shared" si="0"/>
        <v>897.2120683827967</v>
      </c>
    </row>
    <row r="18" spans="1:4" x14ac:dyDescent="0.3">
      <c r="A18">
        <v>2023</v>
      </c>
      <c r="B18" s="5">
        <v>227.55266375209851</v>
      </c>
      <c r="C18" s="5">
        <v>657.55474199818116</v>
      </c>
      <c r="D18" s="4">
        <f t="shared" si="0"/>
        <v>885.10740575027967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0834-4E6B-47C6-960C-4F4DCCA3CC2A}">
  <dimension ref="A1:C18"/>
  <sheetViews>
    <sheetView tabSelected="1" workbookViewId="0">
      <selection activeCell="A16" sqref="A16:C18"/>
    </sheetView>
  </sheetViews>
  <sheetFormatPr baseColWidth="10" defaultRowHeight="14.4" x14ac:dyDescent="0.3"/>
  <cols>
    <col min="2" max="2" width="16.44140625" style="5" customWidth="1"/>
    <col min="3" max="3" width="11.5546875" style="5"/>
  </cols>
  <sheetData>
    <row r="1" spans="1:3" x14ac:dyDescent="0.3">
      <c r="B1" s="5" t="s">
        <v>15</v>
      </c>
      <c r="C1" s="5" t="s">
        <v>16</v>
      </c>
    </row>
    <row r="2" spans="1:3" x14ac:dyDescent="0.3">
      <c r="A2">
        <v>2007</v>
      </c>
      <c r="B2" s="5">
        <v>9.6346135468240011</v>
      </c>
      <c r="C2" s="6">
        <v>67</v>
      </c>
    </row>
    <row r="3" spans="1:3" x14ac:dyDescent="0.3">
      <c r="A3">
        <v>2008</v>
      </c>
      <c r="B3" s="5">
        <v>44.453063728014996</v>
      </c>
      <c r="C3" s="6">
        <v>74</v>
      </c>
    </row>
    <row r="4" spans="1:3" x14ac:dyDescent="0.3">
      <c r="A4">
        <v>2009</v>
      </c>
      <c r="B4" s="5">
        <v>21.39802468513</v>
      </c>
      <c r="C4" s="6">
        <v>71</v>
      </c>
    </row>
    <row r="5" spans="1:3" x14ac:dyDescent="0.3">
      <c r="A5">
        <v>2010</v>
      </c>
      <c r="B5" s="5">
        <v>23.748453592843095</v>
      </c>
      <c r="C5" s="6">
        <v>78</v>
      </c>
    </row>
    <row r="6" spans="1:3" x14ac:dyDescent="0.3">
      <c r="A6">
        <v>2011</v>
      </c>
      <c r="B6" s="5">
        <v>24.769462981412996</v>
      </c>
      <c r="C6" s="6">
        <v>84</v>
      </c>
    </row>
    <row r="7" spans="1:3" x14ac:dyDescent="0.3">
      <c r="A7">
        <v>2012</v>
      </c>
      <c r="B7" s="5">
        <v>31.741112131101008</v>
      </c>
      <c r="C7" s="6">
        <v>114</v>
      </c>
    </row>
    <row r="8" spans="1:3" x14ac:dyDescent="0.3">
      <c r="A8">
        <v>2013</v>
      </c>
      <c r="B8" s="5">
        <v>37.831450660858003</v>
      </c>
      <c r="C8" s="6">
        <v>107</v>
      </c>
    </row>
    <row r="9" spans="1:3" x14ac:dyDescent="0.3">
      <c r="A9">
        <v>2014</v>
      </c>
      <c r="B9" s="5">
        <v>70.905526165279994</v>
      </c>
      <c r="C9" s="6">
        <v>148</v>
      </c>
    </row>
    <row r="10" spans="1:3" x14ac:dyDescent="0.3">
      <c r="A10">
        <v>2015</v>
      </c>
      <c r="B10" s="5">
        <v>82.315482601258026</v>
      </c>
      <c r="C10" s="6">
        <v>134</v>
      </c>
    </row>
    <row r="11" spans="1:3" x14ac:dyDescent="0.3">
      <c r="A11">
        <v>2016</v>
      </c>
      <c r="B11" s="5">
        <v>58.910754066775986</v>
      </c>
      <c r="C11" s="6">
        <v>139</v>
      </c>
    </row>
    <row r="12" spans="1:3" x14ac:dyDescent="0.3">
      <c r="A12">
        <v>2017</v>
      </c>
      <c r="B12" s="5">
        <v>63.647800770196106</v>
      </c>
      <c r="C12" s="6">
        <v>159</v>
      </c>
    </row>
    <row r="13" spans="1:3" x14ac:dyDescent="0.3">
      <c r="A13">
        <v>2018</v>
      </c>
      <c r="B13" s="5">
        <v>86.070829782030003</v>
      </c>
      <c r="C13" s="6">
        <v>161</v>
      </c>
    </row>
    <row r="14" spans="1:3" x14ac:dyDescent="0.3">
      <c r="A14">
        <v>2019</v>
      </c>
      <c r="B14" s="5">
        <v>94.43492881109637</v>
      </c>
      <c r="C14" s="6">
        <v>168</v>
      </c>
    </row>
    <row r="15" spans="1:3" x14ac:dyDescent="0.3">
      <c r="A15">
        <v>2020</v>
      </c>
      <c r="B15" s="5">
        <v>96.866421200804609</v>
      </c>
      <c r="C15" s="6">
        <v>220</v>
      </c>
    </row>
    <row r="16" spans="1:3" x14ac:dyDescent="0.3">
      <c r="A16">
        <v>2021</v>
      </c>
      <c r="B16" s="5">
        <v>111.32677075109805</v>
      </c>
      <c r="C16" s="6">
        <v>248</v>
      </c>
    </row>
    <row r="17" spans="1:3" x14ac:dyDescent="0.3">
      <c r="A17">
        <v>2022</v>
      </c>
      <c r="B17" s="5">
        <v>149.94158872532</v>
      </c>
      <c r="C17" s="6">
        <v>213</v>
      </c>
    </row>
    <row r="18" spans="1:3" x14ac:dyDescent="0.3">
      <c r="A18">
        <v>2023</v>
      </c>
      <c r="B18" s="5">
        <v>43.782375834325997</v>
      </c>
      <c r="C18" s="6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12E4-04F1-433B-BA5C-A1A4AEA507C7}">
  <dimension ref="A1:E8"/>
  <sheetViews>
    <sheetView workbookViewId="0">
      <selection activeCell="B3" sqref="B3:C7"/>
    </sheetView>
  </sheetViews>
  <sheetFormatPr baseColWidth="10" defaultRowHeight="14.4" x14ac:dyDescent="0.3"/>
  <cols>
    <col min="1" max="1" width="16.77734375" customWidth="1"/>
    <col min="2" max="2" width="12.6640625" style="1" customWidth="1"/>
    <col min="3" max="3" width="11.5546875" style="1"/>
    <col min="4" max="4" width="12.77734375" style="1" customWidth="1"/>
    <col min="5" max="5" width="12.21875" style="1" customWidth="1"/>
  </cols>
  <sheetData>
    <row r="1" spans="1:5" x14ac:dyDescent="0.3">
      <c r="B1" s="1" t="s">
        <v>17</v>
      </c>
      <c r="D1" s="1" t="s">
        <v>10</v>
      </c>
    </row>
    <row r="2" spans="1:5" x14ac:dyDescent="0.3">
      <c r="B2" s="1" t="s">
        <v>3</v>
      </c>
      <c r="C2" s="1" t="s">
        <v>4</v>
      </c>
      <c r="D2" s="1" t="s">
        <v>3</v>
      </c>
      <c r="E2" s="1" t="s">
        <v>4</v>
      </c>
    </row>
    <row r="3" spans="1:5" x14ac:dyDescent="0.3">
      <c r="A3" t="s">
        <v>5</v>
      </c>
      <c r="B3" s="7">
        <v>0.21902268760907503</v>
      </c>
      <c r="C3" s="7">
        <v>0.14489858713279352</v>
      </c>
      <c r="D3" s="7">
        <v>0.2191511597073825</v>
      </c>
      <c r="E3" s="7">
        <v>0.37620209037976304</v>
      </c>
    </row>
    <row r="4" spans="1:5" x14ac:dyDescent="0.3">
      <c r="A4" t="s">
        <v>6</v>
      </c>
      <c r="B4" s="7">
        <v>0.40183246073298429</v>
      </c>
      <c r="C4" s="7">
        <v>7.0325665623119885E-2</v>
      </c>
      <c r="D4" s="7">
        <v>0.4648656236839232</v>
      </c>
      <c r="E4" s="7">
        <v>0.15963364369681313</v>
      </c>
    </row>
    <row r="5" spans="1:5" x14ac:dyDescent="0.3">
      <c r="A5" t="s">
        <v>7</v>
      </c>
      <c r="B5" s="7">
        <v>7.1553228621291445E-2</v>
      </c>
      <c r="C5" s="7">
        <v>6.2596250169561912E-2</v>
      </c>
      <c r="D5" s="7">
        <v>7.0814680788008302E-2</v>
      </c>
      <c r="E5" s="7">
        <v>0.14464932594874896</v>
      </c>
    </row>
    <row r="6" spans="1:5" x14ac:dyDescent="0.3">
      <c r="A6" t="s">
        <v>8</v>
      </c>
      <c r="B6" s="7">
        <v>5.8027923211169286E-2</v>
      </c>
      <c r="C6" s="7">
        <v>3.9290229465823744E-2</v>
      </c>
      <c r="D6" s="7">
        <v>0.1260314142658826</v>
      </c>
      <c r="E6" s="7">
        <v>0.1234004975928311</v>
      </c>
    </row>
    <row r="7" spans="1:5" x14ac:dyDescent="0.3">
      <c r="A7" t="s">
        <v>18</v>
      </c>
      <c r="B7" s="7">
        <v>0.20549738219895289</v>
      </c>
      <c r="C7" s="7">
        <v>0.66958942287874101</v>
      </c>
      <c r="D7" s="7">
        <v>4.1615323423437475E-2</v>
      </c>
      <c r="E7" s="7">
        <v>9.6871996524065473E-2</v>
      </c>
    </row>
    <row r="8" spans="1:5" x14ac:dyDescent="0.3">
      <c r="B8" s="8">
        <f>SUM(B3:B7)</f>
        <v>0.95593368237347287</v>
      </c>
      <c r="C8" s="8">
        <f t="shared" ref="C8:E8" si="0">SUM(C3:C7)</f>
        <v>0.98670015527004007</v>
      </c>
      <c r="D8" s="8">
        <f t="shared" si="0"/>
        <v>0.92247820186863405</v>
      </c>
      <c r="E8" s="8">
        <f t="shared" si="0"/>
        <v>0.90075755414222169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EBAC9-9467-4B9E-9B15-17DA90A32606}">
  <dimension ref="A1:D12"/>
  <sheetViews>
    <sheetView workbookViewId="0">
      <selection sqref="A1:D12"/>
    </sheetView>
  </sheetViews>
  <sheetFormatPr baseColWidth="10" defaultRowHeight="14.4" x14ac:dyDescent="0.3"/>
  <cols>
    <col min="1" max="1" width="31.6640625" customWidth="1"/>
    <col min="2" max="2" width="20.5546875" customWidth="1"/>
    <col min="3" max="3" width="15.6640625" style="5" customWidth="1"/>
  </cols>
  <sheetData>
    <row r="1" spans="1:4" x14ac:dyDescent="0.3">
      <c r="A1" t="s">
        <v>19</v>
      </c>
      <c r="B1" t="s">
        <v>30</v>
      </c>
      <c r="C1" s="5" t="s">
        <v>39</v>
      </c>
      <c r="D1" t="s">
        <v>40</v>
      </c>
    </row>
    <row r="2" spans="1:4" x14ac:dyDescent="0.3">
      <c r="A2" t="s">
        <v>23</v>
      </c>
      <c r="B2" t="s">
        <v>31</v>
      </c>
      <c r="C2" s="5">
        <v>61.400800000000004</v>
      </c>
      <c r="D2">
        <v>6</v>
      </c>
    </row>
    <row r="3" spans="1:4" x14ac:dyDescent="0.3">
      <c r="A3" t="s">
        <v>24</v>
      </c>
      <c r="B3" t="s">
        <v>32</v>
      </c>
      <c r="C3" s="5">
        <v>55.616</v>
      </c>
      <c r="D3">
        <v>7</v>
      </c>
    </row>
    <row r="4" spans="1:4" x14ac:dyDescent="0.3">
      <c r="A4" t="s">
        <v>25</v>
      </c>
      <c r="B4" t="s">
        <v>33</v>
      </c>
      <c r="C4" s="5">
        <v>37.783000000000001</v>
      </c>
      <c r="D4">
        <v>13</v>
      </c>
    </row>
    <row r="5" spans="1:4" x14ac:dyDescent="0.3">
      <c r="A5" t="s">
        <v>26</v>
      </c>
      <c r="B5" t="s">
        <v>32</v>
      </c>
      <c r="C5" s="5">
        <v>36.479199999999999</v>
      </c>
      <c r="D5">
        <v>7</v>
      </c>
    </row>
    <row r="6" spans="1:4" x14ac:dyDescent="0.3">
      <c r="A6" t="s">
        <v>20</v>
      </c>
      <c r="B6" t="s">
        <v>34</v>
      </c>
      <c r="C6" s="5">
        <v>35.613399999999999</v>
      </c>
      <c r="D6">
        <v>4</v>
      </c>
    </row>
    <row r="7" spans="1:4" x14ac:dyDescent="0.3">
      <c r="A7" t="s">
        <v>27</v>
      </c>
      <c r="B7" t="s">
        <v>35</v>
      </c>
      <c r="C7" s="5">
        <v>30</v>
      </c>
      <c r="D7">
        <v>2</v>
      </c>
    </row>
    <row r="8" spans="1:4" x14ac:dyDescent="0.3">
      <c r="A8" t="s">
        <v>21</v>
      </c>
      <c r="B8" t="s">
        <v>32</v>
      </c>
      <c r="C8" s="5">
        <v>29.715</v>
      </c>
      <c r="D8">
        <v>5</v>
      </c>
    </row>
    <row r="9" spans="1:4" x14ac:dyDescent="0.3">
      <c r="A9" t="s">
        <v>22</v>
      </c>
      <c r="B9" t="s">
        <v>36</v>
      </c>
      <c r="C9" s="5">
        <v>28.6297</v>
      </c>
      <c r="D9">
        <v>37</v>
      </c>
    </row>
    <row r="10" spans="1:4" x14ac:dyDescent="0.3">
      <c r="A10" t="s">
        <v>28</v>
      </c>
      <c r="B10" t="s">
        <v>37</v>
      </c>
      <c r="C10" s="5">
        <v>21.218499999999999</v>
      </c>
      <c r="D10">
        <v>7</v>
      </c>
    </row>
    <row r="11" spans="1:4" x14ac:dyDescent="0.3">
      <c r="A11" t="s">
        <v>29</v>
      </c>
      <c r="B11" t="s">
        <v>38</v>
      </c>
      <c r="C11" s="5">
        <v>18.306000000000001</v>
      </c>
      <c r="D11">
        <v>2</v>
      </c>
    </row>
    <row r="12" spans="1:4" x14ac:dyDescent="0.3">
      <c r="A12" t="s">
        <v>14</v>
      </c>
      <c r="C12" s="5">
        <f>SUM(C2:C11)</f>
        <v>354.76159999999999</v>
      </c>
      <c r="D12">
        <f>SUM(D2:D11)</f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PRI signatories</vt:lpstr>
      <vt:lpstr>Article 8 funds</vt:lpstr>
      <vt:lpstr>Impact AUM</vt:lpstr>
      <vt:lpstr>Impact Fundraising</vt:lpstr>
      <vt:lpstr>Impact funds</vt:lpstr>
      <vt:lpstr>Top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2015-06-05T18:19:34Z</dcterms:created>
  <dcterms:modified xsi:type="dcterms:W3CDTF">2024-05-03T23:14:40Z</dcterms:modified>
</cp:coreProperties>
</file>