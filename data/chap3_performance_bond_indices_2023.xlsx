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6594F6A-CC17-42E9-A2C1-2BAEFC7C89F7}" xr6:coauthVersionLast="47" xr6:coauthVersionMax="47" xr10:uidLastSave="{00000000-0000-0000-0000-000000000000}"/>
  <bookViews>
    <workbookView xWindow="19080" yWindow="-120" windowWidth="19440" windowHeight="15000" firstSheet="1" activeTab="5" xr2:uid="{00000000-000D-0000-FFFF-FFFF00000000}"/>
  </bookViews>
  <sheets>
    <sheet name="FTSE" sheetId="1" r:id="rId1"/>
    <sheet name="Bloomberg MSCI Euro" sheetId="2" r:id="rId2"/>
    <sheet name="Bloomberg MSCI US" sheetId="3" r:id="rId3"/>
    <sheet name="Bloomberg MSCI HY" sheetId="4" r:id="rId4"/>
    <sheet name="Summary" sheetId="5" r:id="rId5"/>
    <sheet name="alph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5" l="1"/>
  <c r="M28" i="5"/>
  <c r="M27" i="5"/>
  <c r="M26" i="5"/>
  <c r="M25" i="5"/>
  <c r="L29" i="5"/>
  <c r="L28" i="5"/>
  <c r="L27" i="5"/>
  <c r="L26" i="5"/>
  <c r="L25" i="5"/>
  <c r="L24" i="5"/>
  <c r="F28" i="5"/>
  <c r="H27" i="5"/>
  <c r="G27" i="5"/>
  <c r="F27" i="5"/>
  <c r="H26" i="5"/>
  <c r="G26" i="5"/>
  <c r="F26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M7" i="5"/>
  <c r="M6" i="5"/>
  <c r="M5" i="5"/>
  <c r="M4" i="5"/>
  <c r="M3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</calcChain>
</file>

<file path=xl/sharedStrings.xml><?xml version="1.0" encoding="utf-8"?>
<sst xmlns="http://schemas.openxmlformats.org/spreadsheetml/2006/main" count="75" uniqueCount="29">
  <si>
    <t>FTSE ESG World Government Bond</t>
  </si>
  <si>
    <t>FTSE World Government Bond Ind</t>
  </si>
  <si>
    <t>Alpha</t>
  </si>
  <si>
    <t>FTSE ESG Select EMU Government</t>
  </si>
  <si>
    <t>FTSE EMU Government Bond Index</t>
  </si>
  <si>
    <t xml:space="preserve">Bloomberg MSCI Euro Corporate SRI Total Return Index </t>
  </si>
  <si>
    <t xml:space="preserve">Bloomberg Euro Aggregate Corporate Total Return Index </t>
  </si>
  <si>
    <t xml:space="preserve">Bloomberg MSCI Euro Corporate Sustainable SRI TR Index </t>
  </si>
  <si>
    <t>Bloomberg MSCI Euro Corporate ESG Sustainability SRI</t>
  </si>
  <si>
    <t>Bloomberg Euro Aggregate Corporate Total Return Index</t>
  </si>
  <si>
    <t>3Y</t>
  </si>
  <si>
    <t>5Y</t>
  </si>
  <si>
    <t>7Y</t>
  </si>
  <si>
    <t>10Y</t>
  </si>
  <si>
    <t>Bloomberg MSCI US Corporate SRI Select Index</t>
  </si>
  <si>
    <t>Bloomberg US Corporate Total Return</t>
  </si>
  <si>
    <t>Bloomberg MSCI US Corporate Sustainability SRI Index</t>
  </si>
  <si>
    <t xml:space="preserve">Bloomberg US Corporate Total Return </t>
  </si>
  <si>
    <t>Bloomberg MSCI US Corporate ESG Sustainability SRI</t>
  </si>
  <si>
    <t>Bloomberg MSCI Global High Yield SRI</t>
  </si>
  <si>
    <t>Bloomberg Global High Yield Total Return Index</t>
  </si>
  <si>
    <t>Bloomberg MSCI Global High Yield Sustainability</t>
  </si>
  <si>
    <t>FTSE ESG WGBI</t>
  </si>
  <si>
    <t>FTSE WGBI</t>
  </si>
  <si>
    <t>FTSE EGBI</t>
  </si>
  <si>
    <t>FTSE ESG Select EGBI</t>
  </si>
  <si>
    <t xml:space="preserve">Bloomberg MSCI Euro Corporate Total Return Index </t>
  </si>
  <si>
    <t>Bloomberg MSCI Euro Corporate SRI</t>
  </si>
  <si>
    <t>Bloomberg MSCI Euro Corporate Sustainable 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</si>
</sst>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0" xfId="1" applyNumberFormat="1" applyFont="1" applyBorder="1"/>
    <xf numFmtId="10" fontId="0" fillId="0" borderId="6" xfId="1" applyNumberFormat="1" applyFont="1" applyBorder="1"/>
    <xf numFmtId="0" fontId="0" fillId="0" borderId="7" xfId="0" applyBorder="1" applyAlignment="1">
      <alignment horizontal="center"/>
    </xf>
    <xf numFmtId="10" fontId="0" fillId="0" borderId="8" xfId="1" applyNumberFormat="1" applyFont="1" applyBorder="1"/>
    <xf numFmtId="10" fontId="0" fillId="0" borderId="9" xfId="1" applyNumberFormat="1" applyFont="1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10" fontId="0" fillId="0" borderId="5" xfId="1" applyNumberFormat="1" applyFont="1" applyBorder="1"/>
    <xf numFmtId="10" fontId="0" fillId="0" borderId="7" xfId="1" applyNumberFormat="1" applyFont="1" applyBorder="1"/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2" xfId="1" applyNumberFormat="1" applyFont="1" applyBorder="1"/>
    <xf numFmtId="10" fontId="0" fillId="0" borderId="3" xfId="1" applyNumberFormat="1" applyFont="1" applyBorder="1"/>
    <xf numFmtId="10" fontId="0" fillId="0" borderId="4" xfId="1" applyNumberFormat="1" applyFont="1" applyBorder="1"/>
    <xf numFmtId="0" fontId="0" fillId="0" borderId="5" xfId="0" applyBorder="1"/>
    <xf numFmtId="0" fontId="0" fillId="0" borderId="7" xfId="0" applyBorder="1"/>
    <xf numFmtId="1" fontId="0" fillId="0" borderId="0" xfId="0" applyNumberFormat="1"/>
    <xf numFmtId="1" fontId="0" fillId="0" borderId="12" xfId="0" applyNumberFormat="1" applyBorder="1"/>
    <xf numFmtId="1" fontId="0" fillId="0" borderId="6" xfId="1" applyNumberFormat="1" applyFont="1" applyBorder="1"/>
    <xf numFmtId="1" fontId="0" fillId="0" borderId="9" xfId="1" applyNumberFormat="1" applyFont="1" applyBorder="1"/>
    <xf numFmtId="1" fontId="0" fillId="0" borderId="10" xfId="0" applyNumberFormat="1" applyBorder="1"/>
    <xf numFmtId="1" fontId="0" fillId="0" borderId="11" xfId="0" applyNumberFormat="1" applyBorder="1"/>
    <xf numFmtId="1" fontId="0" fillId="0" borderId="5" xfId="1" applyNumberFormat="1" applyFont="1" applyBorder="1"/>
    <xf numFmtId="1" fontId="0" fillId="0" borderId="0" xfId="1" applyNumberFormat="1" applyFont="1" applyBorder="1"/>
    <xf numFmtId="1" fontId="0" fillId="0" borderId="2" xfId="1" applyNumberFormat="1" applyFont="1" applyBorder="1"/>
    <xf numFmtId="1" fontId="0" fillId="0" borderId="3" xfId="1" applyNumberFormat="1" applyFont="1" applyBorder="1"/>
    <xf numFmtId="1" fontId="0" fillId="0" borderId="4" xfId="1" applyNumberFormat="1" applyFont="1" applyBorder="1"/>
    <xf numFmtId="1" fontId="0" fillId="0" borderId="7" xfId="1" applyNumberFormat="1" applyFont="1" applyBorder="1"/>
    <xf numFmtId="1" fontId="0" fillId="0" borderId="8" xfId="1" applyNumberFormat="1" applyFont="1" applyBorder="1"/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6" xfId="0" applyNumberFormat="1" applyBorder="1"/>
    <xf numFmtId="1" fontId="0" fillId="0" borderId="9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0" fontId="0" fillId="0" borderId="0" xfId="1" applyNumberFormat="1" applyFont="1" applyBorder="1" applyAlignment="1">
      <alignment wrapText="1"/>
    </xf>
    <xf numFmtId="10" fontId="0" fillId="0" borderId="5" xfId="1" applyNumberFormat="1" applyFont="1" applyBorder="1" applyAlignment="1">
      <alignment wrapText="1"/>
    </xf>
    <xf numFmtId="10" fontId="0" fillId="0" borderId="6" xfId="1" applyNumberFormat="1" applyFont="1" applyBorder="1" applyAlignment="1">
      <alignment wrapText="1"/>
    </xf>
    <xf numFmtId="10" fontId="0" fillId="0" borderId="11" xfId="1" applyNumberFormat="1" applyFont="1" applyBorder="1" applyAlignment="1">
      <alignment wrapText="1"/>
    </xf>
    <xf numFmtId="10" fontId="0" fillId="0" borderId="10" xfId="1" applyNumberFormat="1" applyFont="1" applyBorder="1" applyAlignment="1">
      <alignment wrapText="1"/>
    </xf>
    <xf numFmtId="10" fontId="0" fillId="0" borderId="12" xfId="1" applyNumberFormat="1" applyFont="1" applyBorder="1" applyAlignment="1">
      <alignment wrapText="1"/>
    </xf>
    <xf numFmtId="1" fontId="0" fillId="0" borderId="10" xfId="1" applyNumberFormat="1" applyFont="1" applyBorder="1"/>
    <xf numFmtId="1" fontId="0" fillId="0" borderId="12" xfId="1" applyNumberFormat="1" applyFont="1" applyBorder="1"/>
    <xf numFmtId="1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I16" sqref="I16"/>
    </sheetView>
  </sheetViews>
  <sheetFormatPr defaultColWidth="8.85546875" defaultRowHeight="15" x14ac:dyDescent="0.25"/>
  <cols>
    <col min="1" max="1" width="9.140625" style="1"/>
    <col min="2" max="7" width="15.7109375" customWidth="1"/>
  </cols>
  <sheetData>
    <row r="1" spans="1:7" s="45" customFormat="1" ht="45.75" thickBot="1" x14ac:dyDescent="0.3">
      <c r="A1" s="41"/>
      <c r="B1" s="47" t="s">
        <v>1</v>
      </c>
      <c r="C1" s="46" t="s">
        <v>0</v>
      </c>
      <c r="D1" s="48" t="s">
        <v>2</v>
      </c>
      <c r="E1" s="46" t="s">
        <v>4</v>
      </c>
      <c r="F1" s="46" t="s">
        <v>3</v>
      </c>
      <c r="G1" s="48" t="s">
        <v>2</v>
      </c>
    </row>
    <row r="2" spans="1:7" x14ac:dyDescent="0.25">
      <c r="A2" s="3">
        <v>2010</v>
      </c>
      <c r="B2" s="13">
        <v>4.611992171234558E-2</v>
      </c>
      <c r="C2" s="4">
        <v>4.3147026329061422E-2</v>
      </c>
      <c r="D2" s="5">
        <v>-2.9728953832841576E-3</v>
      </c>
      <c r="E2" s="4">
        <v>6.0722659772740606E-3</v>
      </c>
      <c r="F2" s="4">
        <v>4.1386788241540406E-2</v>
      </c>
      <c r="G2" s="5">
        <v>3.5314522264266346E-2</v>
      </c>
    </row>
    <row r="3" spans="1:7" x14ac:dyDescent="0.25">
      <c r="A3" s="3">
        <v>2011</v>
      </c>
      <c r="B3" s="13">
        <v>6.3524237113528281E-2</v>
      </c>
      <c r="C3" s="4">
        <v>7.0467313014830779E-2</v>
      </c>
      <c r="D3" s="5">
        <v>6.9430759013024979E-3</v>
      </c>
      <c r="E3" s="4">
        <v>3.4062387952671136E-2</v>
      </c>
      <c r="F3" s="4">
        <v>7.3142923814632832E-2</v>
      </c>
      <c r="G3" s="5">
        <v>3.9080535861961696E-2</v>
      </c>
    </row>
    <row r="4" spans="1:7" x14ac:dyDescent="0.25">
      <c r="A4" s="3">
        <v>2012</v>
      </c>
      <c r="B4" s="13">
        <v>1.6468126957630558E-2</v>
      </c>
      <c r="C4" s="4">
        <v>3.0592142838314018E-2</v>
      </c>
      <c r="D4" s="5">
        <v>1.412401588068346E-2</v>
      </c>
      <c r="E4" s="4">
        <v>0.10650716597318532</v>
      </c>
      <c r="F4" s="4">
        <v>7.3909369700479344E-2</v>
      </c>
      <c r="G4" s="5">
        <v>-3.2597796272705981E-2</v>
      </c>
    </row>
    <row r="5" spans="1:7" x14ac:dyDescent="0.25">
      <c r="A5" s="3">
        <v>2013</v>
      </c>
      <c r="B5" s="13">
        <v>-3.9974830677854012E-2</v>
      </c>
      <c r="C5" s="4">
        <v>-2.9510114367466311E-2</v>
      </c>
      <c r="D5" s="5">
        <v>1.0464716310387701E-2</v>
      </c>
      <c r="E5" s="4">
        <v>2.2144461273306604E-2</v>
      </c>
      <c r="F5" s="4">
        <v>-1.4041636312816075E-2</v>
      </c>
      <c r="G5" s="5">
        <v>-3.6186097586122679E-2</v>
      </c>
    </row>
    <row r="6" spans="1:7" x14ac:dyDescent="0.25">
      <c r="A6" s="3">
        <v>2014</v>
      </c>
      <c r="B6" s="13">
        <v>-4.7582384248407994E-3</v>
      </c>
      <c r="C6" s="4">
        <v>-2.1936721738351483E-3</v>
      </c>
      <c r="D6" s="5">
        <v>2.5645662510056511E-3</v>
      </c>
      <c r="E6" s="4">
        <v>0.1318788002656992</v>
      </c>
      <c r="F6" s="4">
        <v>0.11436427275142136</v>
      </c>
      <c r="G6" s="5">
        <v>-1.7514527514277844E-2</v>
      </c>
    </row>
    <row r="7" spans="1:7" x14ac:dyDescent="0.25">
      <c r="A7" s="3">
        <v>2015</v>
      </c>
      <c r="B7" s="13">
        <v>-3.5749399868973741E-2</v>
      </c>
      <c r="C7" s="4">
        <v>-4.8513484601290457E-2</v>
      </c>
      <c r="D7" s="5">
        <v>-1.2764084732316716E-2</v>
      </c>
      <c r="E7" s="4">
        <v>1.6522210184181985E-2</v>
      </c>
      <c r="F7" s="4">
        <v>3.8750741787751952E-3</v>
      </c>
      <c r="G7" s="5">
        <v>-1.2647136005406789E-2</v>
      </c>
    </row>
    <row r="8" spans="1:7" x14ac:dyDescent="0.25">
      <c r="A8" s="3">
        <v>2016</v>
      </c>
      <c r="B8" s="13">
        <v>1.600448732537485E-2</v>
      </c>
      <c r="C8" s="4">
        <v>1.0152899595762488E-2</v>
      </c>
      <c r="D8" s="5">
        <v>-5.851587729612362E-3</v>
      </c>
      <c r="E8" s="4">
        <v>3.1974420463628972E-2</v>
      </c>
      <c r="F8" s="4">
        <v>4.0046832215655748E-2</v>
      </c>
      <c r="G8" s="5">
        <v>8.0724117520267757E-3</v>
      </c>
    </row>
    <row r="9" spans="1:7" x14ac:dyDescent="0.25">
      <c r="A9" s="3">
        <v>2017</v>
      </c>
      <c r="B9" s="13">
        <v>7.4891337549353398E-2</v>
      </c>
      <c r="C9" s="4">
        <v>8.1636167685843919E-2</v>
      </c>
      <c r="D9" s="5">
        <v>6.7448301364905205E-3</v>
      </c>
      <c r="E9" s="4">
        <v>1.5491866769945517E-3</v>
      </c>
      <c r="F9" s="4">
        <v>-4.6808426955783355E-3</v>
      </c>
      <c r="G9" s="5">
        <v>-6.2300293725728872E-3</v>
      </c>
    </row>
    <row r="10" spans="1:7" x14ac:dyDescent="0.25">
      <c r="A10" s="3">
        <v>2018</v>
      </c>
      <c r="B10" s="13">
        <v>-8.4075978338513657E-3</v>
      </c>
      <c r="C10" s="4">
        <v>-1.4141661369965974E-2</v>
      </c>
      <c r="D10" s="5">
        <v>-5.7340635361146086E-3</v>
      </c>
      <c r="E10" s="4">
        <v>8.7651456560968732E-3</v>
      </c>
      <c r="F10" s="4">
        <v>1.6527702949513223E-2</v>
      </c>
      <c r="G10" s="5">
        <v>7.76255729341635E-3</v>
      </c>
    </row>
    <row r="11" spans="1:7" x14ac:dyDescent="0.25">
      <c r="A11" s="3">
        <v>2019</v>
      </c>
      <c r="B11" s="13">
        <v>5.8977833876989072E-2</v>
      </c>
      <c r="C11" s="4">
        <v>5.5561163282057624E-2</v>
      </c>
      <c r="D11" s="5">
        <v>-3.416670594931448E-3</v>
      </c>
      <c r="E11" s="4">
        <v>6.7169264843683463E-2</v>
      </c>
      <c r="F11" s="4">
        <v>4.4485235033912218E-2</v>
      </c>
      <c r="G11" s="5">
        <v>-2.2684029809771245E-2</v>
      </c>
    </row>
    <row r="12" spans="1:7" x14ac:dyDescent="0.25">
      <c r="A12" s="3">
        <v>2020</v>
      </c>
      <c r="B12" s="13">
        <v>0.10108110026021699</v>
      </c>
      <c r="C12" s="4">
        <v>0.10901036870531766</v>
      </c>
      <c r="D12" s="5">
        <v>7.9292684451006679E-3</v>
      </c>
      <c r="E12" s="4">
        <v>5.0289363400518816E-2</v>
      </c>
      <c r="F12" s="4">
        <v>4.1064206309114226E-2</v>
      </c>
      <c r="G12" s="5">
        <v>-9.2251570914045899E-3</v>
      </c>
    </row>
    <row r="13" spans="1:7" x14ac:dyDescent="0.25">
      <c r="A13" s="3">
        <v>2021</v>
      </c>
      <c r="B13" s="13">
        <v>-6.9717947667617963E-2</v>
      </c>
      <c r="C13" s="4">
        <v>-7.1459681079686699E-2</v>
      </c>
      <c r="D13" s="5">
        <v>-1.7417334120687356E-3</v>
      </c>
      <c r="E13" s="4">
        <v>-3.5417062511875264E-2</v>
      </c>
      <c r="F13" s="4">
        <v>-3.7561057699853295E-2</v>
      </c>
      <c r="G13" s="5">
        <v>-2.1439951879780317E-3</v>
      </c>
    </row>
    <row r="14" spans="1:7" x14ac:dyDescent="0.25">
      <c r="A14" s="3">
        <v>2022</v>
      </c>
      <c r="B14" s="13">
        <v>-0.18263239677249532</v>
      </c>
      <c r="C14" s="4">
        <v>-0.19998079528085522</v>
      </c>
      <c r="D14" s="5">
        <v>-1.7348398508359897E-2</v>
      </c>
      <c r="E14" s="4">
        <v>-0.18516329827049605</v>
      </c>
      <c r="F14" s="4">
        <v>-0.1905718350934078</v>
      </c>
      <c r="G14" s="5">
        <v>-5.4085368229117581E-3</v>
      </c>
    </row>
    <row r="15" spans="1:7" ht="15.75" thickBot="1" x14ac:dyDescent="0.3">
      <c r="A15" s="6">
        <v>2023</v>
      </c>
      <c r="B15" s="14">
        <v>5.1850430355052213E-2</v>
      </c>
      <c r="C15" s="7">
        <v>5.6859027013891117E-2</v>
      </c>
      <c r="D15" s="8">
        <v>5.0085966588389041E-3</v>
      </c>
      <c r="E15" s="7">
        <v>7.9002079002078895E-2</v>
      </c>
      <c r="F15" s="7">
        <v>6.3211472542847202E-2</v>
      </c>
      <c r="G15" s="8">
        <v>-1.5790606459231693E-2</v>
      </c>
    </row>
    <row r="16" spans="1:7" x14ac:dyDescent="0.25">
      <c r="A16" s="3" t="s">
        <v>10</v>
      </c>
      <c r="B16" s="13">
        <v>-7.1756285403620668E-2</v>
      </c>
      <c r="C16" s="4">
        <v>-7.7486465217968425E-2</v>
      </c>
      <c r="D16" s="5">
        <v>-5.7301798143477578E-3</v>
      </c>
      <c r="E16" s="4">
        <v>-5.3448721635962926E-2</v>
      </c>
      <c r="F16" s="4">
        <v>-6.0874316776500903E-2</v>
      </c>
      <c r="G16" s="5">
        <v>-7.4255951405379772E-3</v>
      </c>
    </row>
    <row r="17" spans="1:7" x14ac:dyDescent="0.25">
      <c r="A17" s="3" t="s">
        <v>11</v>
      </c>
      <c r="B17" s="13">
        <v>-1.3860293401848578E-2</v>
      </c>
      <c r="C17" s="4">
        <v>-1.6742087531257943E-2</v>
      </c>
      <c r="D17" s="5">
        <v>-2.8817941294093652E-3</v>
      </c>
      <c r="E17" s="4">
        <v>-1.0091751583722663E-2</v>
      </c>
      <c r="F17" s="4">
        <v>-2.0712536881550503E-2</v>
      </c>
      <c r="G17" s="5">
        <v>-1.0620785297827839E-2</v>
      </c>
    </row>
    <row r="18" spans="1:7" x14ac:dyDescent="0.25">
      <c r="A18" s="3" t="s">
        <v>12</v>
      </c>
      <c r="B18" s="13">
        <v>-8.5817251625230906E-4</v>
      </c>
      <c r="C18" s="4">
        <v>-2.8796807273199221E-3</v>
      </c>
      <c r="D18" s="5">
        <v>-2.021508211067613E-3</v>
      </c>
      <c r="E18" s="4">
        <v>-5.7605085452747673E-3</v>
      </c>
      <c r="F18" s="4">
        <v>-1.3190726286535281E-2</v>
      </c>
      <c r="G18" s="5">
        <v>-7.4302177412605142E-3</v>
      </c>
    </row>
    <row r="19" spans="1:7" ht="15.75" thickBot="1" x14ac:dyDescent="0.3">
      <c r="A19" s="6" t="s">
        <v>13</v>
      </c>
      <c r="B19" s="14">
        <v>-3.1256724116921486E-3</v>
      </c>
      <c r="C19" s="7">
        <v>-6.1819114536504349E-3</v>
      </c>
      <c r="D19" s="8">
        <v>-3.0562390419582863E-3</v>
      </c>
      <c r="E19" s="7">
        <v>1.3216560859012905E-2</v>
      </c>
      <c r="F19" s="7">
        <v>5.8639194210567958E-3</v>
      </c>
      <c r="G19" s="8">
        <v>-7.3526414379561089E-3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B16" sqref="B16"/>
    </sheetView>
  </sheetViews>
  <sheetFormatPr defaultColWidth="8.85546875" defaultRowHeight="15" x14ac:dyDescent="0.25"/>
  <cols>
    <col min="1" max="1" width="9.140625" style="1"/>
    <col min="2" max="10" width="15.7109375" customWidth="1"/>
  </cols>
  <sheetData>
    <row r="1" spans="1:10" ht="75.75" thickBot="1" x14ac:dyDescent="0.3">
      <c r="A1" s="9"/>
      <c r="B1" s="47" t="s">
        <v>6</v>
      </c>
      <c r="C1" s="46" t="s">
        <v>5</v>
      </c>
      <c r="D1" s="48" t="s">
        <v>2</v>
      </c>
      <c r="E1" s="46" t="s">
        <v>6</v>
      </c>
      <c r="F1" s="46" t="s">
        <v>7</v>
      </c>
      <c r="G1" s="48" t="s">
        <v>2</v>
      </c>
      <c r="H1" s="46" t="s">
        <v>9</v>
      </c>
      <c r="I1" s="46" t="s">
        <v>8</v>
      </c>
      <c r="J1" s="48" t="s">
        <v>2</v>
      </c>
    </row>
    <row r="2" spans="1:10" x14ac:dyDescent="0.25">
      <c r="A2" s="3">
        <v>2010</v>
      </c>
      <c r="B2" s="13">
        <v>3.0667282480125957E-2</v>
      </c>
      <c r="C2" s="4">
        <v>2.9340159281997291E-2</v>
      </c>
      <c r="D2" s="5">
        <v>-1.3271231981286657E-3</v>
      </c>
      <c r="E2" s="4">
        <v>3.0667282480125957E-2</v>
      </c>
      <c r="F2" s="4">
        <v>2.9637538297823562E-2</v>
      </c>
      <c r="G2" s="5">
        <v>-1.0297441823023945E-3</v>
      </c>
      <c r="H2" s="4">
        <v>3.0667282480125957E-2</v>
      </c>
      <c r="I2" s="4"/>
      <c r="J2" s="5"/>
    </row>
    <row r="3" spans="1:10" x14ac:dyDescent="0.25">
      <c r="A3" s="3">
        <v>2011</v>
      </c>
      <c r="B3" s="13">
        <v>1.4860263024555787E-2</v>
      </c>
      <c r="C3" s="4">
        <v>1.1671601689347E-2</v>
      </c>
      <c r="D3" s="5">
        <v>-3.1886613352087867E-3</v>
      </c>
      <c r="E3" s="4">
        <v>1.4860263024555787E-2</v>
      </c>
      <c r="F3" s="4">
        <v>1.4346018996839627E-2</v>
      </c>
      <c r="G3" s="5">
        <v>-5.1424402771615974E-4</v>
      </c>
      <c r="H3" s="4">
        <v>1.4860263024555787E-2</v>
      </c>
      <c r="I3" s="4"/>
      <c r="J3" s="5"/>
    </row>
    <row r="4" spans="1:10" x14ac:dyDescent="0.25">
      <c r="A4" s="3">
        <v>2012</v>
      </c>
      <c r="B4" s="13">
        <v>0.13592626288529286</v>
      </c>
      <c r="C4" s="4">
        <v>0.13991957547853273</v>
      </c>
      <c r="D4" s="5">
        <v>3.9933125932398728E-3</v>
      </c>
      <c r="E4" s="4">
        <v>0.13592626288529286</v>
      </c>
      <c r="F4" s="4">
        <v>0.12962110132136306</v>
      </c>
      <c r="G4" s="5">
        <v>-6.3051615639297953E-3</v>
      </c>
      <c r="H4" s="4">
        <v>0.13592626288529286</v>
      </c>
      <c r="I4" s="4"/>
      <c r="J4" s="5"/>
    </row>
    <row r="5" spans="1:10" x14ac:dyDescent="0.25">
      <c r="A5" s="3">
        <v>2013</v>
      </c>
      <c r="B5" s="13">
        <v>2.3702740827122648E-2</v>
      </c>
      <c r="C5" s="4">
        <v>2.487442408545304E-2</v>
      </c>
      <c r="D5" s="5">
        <v>1.1716832583303916E-3</v>
      </c>
      <c r="E5" s="4">
        <v>2.3702740827122648E-2</v>
      </c>
      <c r="F5" s="4">
        <v>2.3572508049149121E-2</v>
      </c>
      <c r="G5" s="5">
        <v>-1.3023277797352684E-4</v>
      </c>
      <c r="H5" s="4">
        <v>2.3702740827122648E-2</v>
      </c>
      <c r="I5" s="4"/>
      <c r="J5" s="5"/>
    </row>
    <row r="6" spans="1:10" x14ac:dyDescent="0.25">
      <c r="A6" s="3">
        <v>2014</v>
      </c>
      <c r="B6" s="13">
        <v>8.3952892438546201E-2</v>
      </c>
      <c r="C6" s="4">
        <v>8.310826683475514E-2</v>
      </c>
      <c r="D6" s="5">
        <v>-8.4462560379106044E-4</v>
      </c>
      <c r="E6" s="4">
        <v>8.3952892438546201E-2</v>
      </c>
      <c r="F6" s="4">
        <v>8.4922988936726451E-2</v>
      </c>
      <c r="G6" s="5">
        <v>9.7009649818025068E-4</v>
      </c>
      <c r="H6" s="4">
        <v>8.3952892438546201E-2</v>
      </c>
      <c r="I6" s="4"/>
      <c r="J6" s="5"/>
    </row>
    <row r="7" spans="1:10" x14ac:dyDescent="0.25">
      <c r="A7" s="3">
        <v>2015</v>
      </c>
      <c r="B7" s="13">
        <v>-5.6299968165507419E-3</v>
      </c>
      <c r="C7" s="4">
        <v>-5.8924050078706935E-3</v>
      </c>
      <c r="D7" s="5">
        <v>-2.6240819131995163E-4</v>
      </c>
      <c r="E7" s="4">
        <v>-5.6299968165507419E-3</v>
      </c>
      <c r="F7" s="4">
        <v>-4.9829955528898351E-3</v>
      </c>
      <c r="G7" s="5">
        <v>6.4700126366090682E-4</v>
      </c>
      <c r="H7" s="4">
        <v>-5.6299968165507419E-3</v>
      </c>
      <c r="I7" s="4">
        <v>-5.8913792530383979E-3</v>
      </c>
      <c r="J7" s="5">
        <v>-2.6138243648765602E-4</v>
      </c>
    </row>
    <row r="8" spans="1:10" x14ac:dyDescent="0.25">
      <c r="A8" s="3">
        <v>2016</v>
      </c>
      <c r="B8" s="13">
        <v>4.727407783880988E-2</v>
      </c>
      <c r="C8" s="4">
        <v>4.598492419750988E-2</v>
      </c>
      <c r="D8" s="5">
        <v>-1.2891536413000004E-3</v>
      </c>
      <c r="E8" s="4">
        <v>4.727407783880988E-2</v>
      </c>
      <c r="F8" s="4">
        <v>4.4407969202221453E-2</v>
      </c>
      <c r="G8" s="5">
        <v>-2.866108636588427E-3</v>
      </c>
      <c r="H8" s="4">
        <v>4.727407783880988E-2</v>
      </c>
      <c r="I8" s="4">
        <v>4.598472964827649E-2</v>
      </c>
      <c r="J8" s="5">
        <v>-1.2893481905333903E-3</v>
      </c>
    </row>
    <row r="9" spans="1:10" x14ac:dyDescent="0.25">
      <c r="A9" s="3">
        <v>2017</v>
      </c>
      <c r="B9" s="13">
        <v>2.4122596896668513E-2</v>
      </c>
      <c r="C9" s="4">
        <v>2.4674443867923612E-2</v>
      </c>
      <c r="D9" s="5">
        <v>5.5184697125509885E-4</v>
      </c>
      <c r="E9" s="4">
        <v>2.4122596896668513E-2</v>
      </c>
      <c r="F9" s="4">
        <v>2.4752129319782323E-2</v>
      </c>
      <c r="G9" s="5">
        <v>6.2953242311380997E-4</v>
      </c>
      <c r="H9" s="4">
        <v>2.4122596896668513E-2</v>
      </c>
      <c r="I9" s="4">
        <v>2.4674136951271519E-2</v>
      </c>
      <c r="J9" s="5">
        <v>5.5154005460300581E-4</v>
      </c>
    </row>
    <row r="10" spans="1:10" x14ac:dyDescent="0.25">
      <c r="A10" s="3">
        <v>2018</v>
      </c>
      <c r="B10" s="13">
        <v>-1.2520200076952648E-2</v>
      </c>
      <c r="C10" s="4">
        <v>-1.1180692790773161E-2</v>
      </c>
      <c r="D10" s="5">
        <v>1.3395072861794866E-3</v>
      </c>
      <c r="E10" s="4">
        <v>-1.2520200076952648E-2</v>
      </c>
      <c r="F10" s="4">
        <v>-1.1136366506294904E-2</v>
      </c>
      <c r="G10" s="5">
        <v>1.3838335706577443E-3</v>
      </c>
      <c r="H10" s="4">
        <v>-1.2520200076952648E-2</v>
      </c>
      <c r="I10" s="4">
        <v>-1.1180828211422744E-2</v>
      </c>
      <c r="J10" s="5">
        <v>1.3393718655299036E-3</v>
      </c>
    </row>
    <row r="11" spans="1:10" x14ac:dyDescent="0.25">
      <c r="A11" s="3">
        <v>2019</v>
      </c>
      <c r="B11" s="13">
        <v>6.2404204521731232E-2</v>
      </c>
      <c r="C11" s="4">
        <v>6.0053140751386458E-2</v>
      </c>
      <c r="D11" s="5">
        <v>-2.3510637703447745E-3</v>
      </c>
      <c r="E11" s="4">
        <v>6.2404204521731232E-2</v>
      </c>
      <c r="F11" s="4">
        <v>5.9184692455921395E-2</v>
      </c>
      <c r="G11" s="5">
        <v>-3.2195120658098375E-3</v>
      </c>
      <c r="H11" s="4">
        <v>6.2404204521731232E-2</v>
      </c>
      <c r="I11" s="4">
        <v>6.0052965229080657E-2</v>
      </c>
      <c r="J11" s="5">
        <v>-2.3512392926505754E-3</v>
      </c>
    </row>
    <row r="12" spans="1:10" x14ac:dyDescent="0.25">
      <c r="A12" s="3">
        <v>2020</v>
      </c>
      <c r="B12" s="13">
        <v>2.7715075588149007E-2</v>
      </c>
      <c r="C12" s="4">
        <v>2.6906421885554366E-2</v>
      </c>
      <c r="D12" s="5">
        <v>-8.0865370259464164E-4</v>
      </c>
      <c r="E12" s="4">
        <v>2.7715075588149007E-2</v>
      </c>
      <c r="F12" s="4">
        <v>2.7029145035554203E-2</v>
      </c>
      <c r="G12" s="5">
        <v>-6.8593055259480451E-4</v>
      </c>
      <c r="H12" s="4">
        <v>2.7715075588149007E-2</v>
      </c>
      <c r="I12" s="4">
        <v>2.5223741664971877E-2</v>
      </c>
      <c r="J12" s="5">
        <v>-2.4913339231771303E-3</v>
      </c>
    </row>
    <row r="13" spans="1:10" x14ac:dyDescent="0.25">
      <c r="A13" s="3">
        <v>2021</v>
      </c>
      <c r="B13" s="13">
        <v>-9.6556185264363714E-3</v>
      </c>
      <c r="C13" s="4">
        <v>-9.586578437804083E-3</v>
      </c>
      <c r="D13" s="5">
        <v>6.9040088632288388E-5</v>
      </c>
      <c r="E13" s="4">
        <v>-9.6556185264363714E-3</v>
      </c>
      <c r="F13" s="4">
        <v>-9.8813533257341435E-3</v>
      </c>
      <c r="G13" s="5">
        <v>-2.2573479929777207E-4</v>
      </c>
      <c r="H13" s="4">
        <v>-9.6556185264363714E-3</v>
      </c>
      <c r="I13" s="4">
        <v>-9.9002875421516645E-3</v>
      </c>
      <c r="J13" s="5">
        <v>-2.4466901571529309E-4</v>
      </c>
    </row>
    <row r="14" spans="1:10" x14ac:dyDescent="0.25">
      <c r="A14" s="3">
        <v>2022</v>
      </c>
      <c r="B14" s="13">
        <v>-0.13645679120518972</v>
      </c>
      <c r="C14" s="4">
        <v>-0.13615280157972443</v>
      </c>
      <c r="D14" s="5">
        <v>3.0398962546529518E-4</v>
      </c>
      <c r="E14" s="4">
        <v>-0.13645679120518972</v>
      </c>
      <c r="F14" s="4">
        <v>-0.13481109196332408</v>
      </c>
      <c r="G14" s="5">
        <v>1.6456992418656391E-3</v>
      </c>
      <c r="H14" s="4">
        <v>-0.13645679120518972</v>
      </c>
      <c r="I14" s="4">
        <v>-0.13477939356032465</v>
      </c>
      <c r="J14" s="5">
        <v>1.6773976448650751E-3</v>
      </c>
    </row>
    <row r="15" spans="1:10" ht="15.75" thickBot="1" x14ac:dyDescent="0.3">
      <c r="A15" s="3">
        <v>2022</v>
      </c>
      <c r="B15" s="13">
        <v>8.1870859545414065E-2</v>
      </c>
      <c r="C15" s="4">
        <v>8.1551875867503787E-2</v>
      </c>
      <c r="D15" s="5">
        <v>-3.1898367791027837E-4</v>
      </c>
      <c r="E15" s="4">
        <v>8.1870859545414065E-2</v>
      </c>
      <c r="F15" s="4">
        <v>8.0029791657102667E-2</v>
      </c>
      <c r="G15" s="5">
        <v>-1.8410678883113984E-3</v>
      </c>
      <c r="H15" s="4">
        <v>8.1870859545414065E-2</v>
      </c>
      <c r="I15" s="4">
        <v>7.990067714990845E-2</v>
      </c>
      <c r="J15" s="5">
        <v>-1.9701823955056152E-3</v>
      </c>
    </row>
    <row r="16" spans="1:10" x14ac:dyDescent="0.25">
      <c r="A16" s="2" t="s">
        <v>10</v>
      </c>
      <c r="B16" s="17">
        <v>-2.5574637294320524E-2</v>
      </c>
      <c r="C16" s="18">
        <v>-2.5533454994879023E-2</v>
      </c>
      <c r="D16" s="19">
        <v>4.1182299441500092E-5</v>
      </c>
      <c r="E16" s="18">
        <v>-2.5574637294320524E-2</v>
      </c>
      <c r="F16" s="18">
        <v>-2.5583477708166602E-2</v>
      </c>
      <c r="G16" s="19">
        <v>-8.8404138460784765E-6</v>
      </c>
      <c r="H16" s="18">
        <v>-2.5574637294320524E-2</v>
      </c>
      <c r="I16" s="18">
        <v>-2.5616620558418401E-2</v>
      </c>
      <c r="J16" s="19">
        <v>-4.1983264097877893E-5</v>
      </c>
    </row>
    <row r="17" spans="1:10" x14ac:dyDescent="0.25">
      <c r="A17" s="3" t="s">
        <v>11</v>
      </c>
      <c r="B17" s="13">
        <v>2.0321344211466918E-3</v>
      </c>
      <c r="C17" s="4">
        <v>1.4559739790185322E-3</v>
      </c>
      <c r="D17" s="5">
        <v>-5.7616044212815964E-4</v>
      </c>
      <c r="E17" s="4">
        <v>2.0321344211466918E-3</v>
      </c>
      <c r="F17" s="4">
        <v>1.2849220209365519E-3</v>
      </c>
      <c r="G17" s="5">
        <v>-7.472124002101399E-4</v>
      </c>
      <c r="H17" s="4">
        <v>2.0321344211466918E-3</v>
      </c>
      <c r="I17" s="4">
        <v>1.0762645990989306E-3</v>
      </c>
      <c r="J17" s="5">
        <v>-9.5586982204776128E-4</v>
      </c>
    </row>
    <row r="18" spans="1:10" x14ac:dyDescent="0.25">
      <c r="A18" s="3" t="s">
        <v>12</v>
      </c>
      <c r="B18" s="13">
        <v>3.0600104368054826E-3</v>
      </c>
      <c r="C18" s="4">
        <v>2.9193752738614354E-3</v>
      </c>
      <c r="D18" s="5">
        <v>-1.4063516294404721E-4</v>
      </c>
      <c r="E18" s="4">
        <v>3.0600104368054826E-3</v>
      </c>
      <c r="F18" s="4">
        <v>2.8142961856965076E-3</v>
      </c>
      <c r="G18" s="5">
        <v>-2.4571425110897493E-4</v>
      </c>
      <c r="H18" s="4">
        <v>3.0600104368054826E-3</v>
      </c>
      <c r="I18" s="4">
        <v>2.6476807263866586E-3</v>
      </c>
      <c r="J18" s="5">
        <v>-4.1232971041882394E-4</v>
      </c>
    </row>
    <row r="19" spans="1:10" ht="15.75" thickBot="1" x14ac:dyDescent="0.3">
      <c r="A19" s="6" t="s">
        <v>13</v>
      </c>
      <c r="B19" s="14">
        <v>1.435674000132825E-2</v>
      </c>
      <c r="C19" s="7">
        <v>1.4026451034296672E-2</v>
      </c>
      <c r="D19" s="8">
        <v>-3.3028896703157784E-4</v>
      </c>
      <c r="E19" s="7">
        <v>1.435674000132825E-2</v>
      </c>
      <c r="F19" s="7">
        <v>1.4061561329781203E-2</v>
      </c>
      <c r="G19" s="8">
        <v>-2.9517867154704724E-4</v>
      </c>
      <c r="H19" s="7">
        <v>1.435674000132825E-2</v>
      </c>
      <c r="I19" s="7"/>
      <c r="J19" s="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selection activeCell="B2" sqref="B2:C4"/>
    </sheetView>
  </sheetViews>
  <sheetFormatPr defaultColWidth="8.85546875" defaultRowHeight="15" x14ac:dyDescent="0.25"/>
  <cols>
    <col min="2" max="10" width="15.7109375" customWidth="1"/>
  </cols>
  <sheetData>
    <row r="1" spans="1:10" ht="75.75" thickBot="1" x14ac:dyDescent="0.3">
      <c r="A1" s="12"/>
      <c r="B1" s="47" t="s">
        <v>15</v>
      </c>
      <c r="C1" s="46" t="s">
        <v>14</v>
      </c>
      <c r="D1" s="48" t="s">
        <v>2</v>
      </c>
      <c r="E1" s="47" t="s">
        <v>17</v>
      </c>
      <c r="F1" s="46" t="s">
        <v>16</v>
      </c>
      <c r="G1" s="48" t="s">
        <v>2</v>
      </c>
      <c r="H1" s="47" t="s">
        <v>17</v>
      </c>
      <c r="I1" s="46" t="s">
        <v>18</v>
      </c>
      <c r="J1" s="48" t="s">
        <v>2</v>
      </c>
    </row>
    <row r="2" spans="1:10" x14ac:dyDescent="0.25">
      <c r="A2" s="20">
        <v>2021</v>
      </c>
      <c r="B2" s="13">
        <v>-1.0419387362490706E-2</v>
      </c>
      <c r="C2" s="4">
        <v>-1.5490987956185087E-2</v>
      </c>
      <c r="D2" s="5">
        <v>-5.0716005936943809E-3</v>
      </c>
      <c r="E2" s="13">
        <v>-1.0419387362490706E-2</v>
      </c>
      <c r="F2" s="4">
        <v>9.5628237547606743E-2</v>
      </c>
      <c r="G2" s="5">
        <v>0.10604762491009745</v>
      </c>
      <c r="H2" s="13">
        <v>-1.0419387362490706E-2</v>
      </c>
      <c r="I2" s="4">
        <v>2.3399050426248902E-2</v>
      </c>
      <c r="J2" s="5">
        <v>3.3818437788739608E-2</v>
      </c>
    </row>
    <row r="3" spans="1:10" x14ac:dyDescent="0.25">
      <c r="A3" s="20">
        <v>2022</v>
      </c>
      <c r="B3" s="13">
        <v>-0.15761571360864135</v>
      </c>
      <c r="C3" s="4">
        <v>-0.15117397785738107</v>
      </c>
      <c r="D3" s="5">
        <v>6.4417357512602802E-3</v>
      </c>
      <c r="E3" s="13">
        <v>-0.15761571360864135</v>
      </c>
      <c r="F3" s="4">
        <v>-1.0950116568269053E-2</v>
      </c>
      <c r="G3" s="5">
        <v>0.1466655970403723</v>
      </c>
      <c r="H3" s="13">
        <v>-0.15761571360864135</v>
      </c>
      <c r="I3" s="4">
        <v>-0.13864820415461698</v>
      </c>
      <c r="J3" s="5">
        <v>1.8967509454024367E-2</v>
      </c>
    </row>
    <row r="4" spans="1:10" ht="15.75" thickBot="1" x14ac:dyDescent="0.3">
      <c r="A4" s="21">
        <v>2023</v>
      </c>
      <c r="B4" s="14">
        <v>8.5186308200256189E-2</v>
      </c>
      <c r="C4" s="7">
        <v>8.436165996716305E-2</v>
      </c>
      <c r="D4" s="8">
        <v>-8.2464823309313928E-4</v>
      </c>
      <c r="E4" s="14"/>
      <c r="F4" s="7"/>
      <c r="G4" s="8"/>
      <c r="H4" s="14">
        <v>8.5186308200256189E-2</v>
      </c>
      <c r="I4" s="7"/>
      <c r="J4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E28" sqref="E28"/>
    </sheetView>
  </sheetViews>
  <sheetFormatPr defaultColWidth="8.85546875" defaultRowHeight="15" x14ac:dyDescent="0.25"/>
  <cols>
    <col min="1" max="1" width="9.140625" style="1"/>
    <col min="2" max="7" width="15.7109375" style="45" customWidth="1"/>
  </cols>
  <sheetData>
    <row r="1" spans="1:7" ht="60.75" thickBot="1" x14ac:dyDescent="0.3">
      <c r="A1" s="16"/>
      <c r="B1" s="42" t="s">
        <v>20</v>
      </c>
      <c r="C1" s="42" t="s">
        <v>19</v>
      </c>
      <c r="D1" s="42" t="s">
        <v>2</v>
      </c>
      <c r="E1" s="43" t="s">
        <v>20</v>
      </c>
      <c r="F1" s="42" t="s">
        <v>21</v>
      </c>
      <c r="G1" s="44" t="s">
        <v>2</v>
      </c>
    </row>
    <row r="2" spans="1:7" x14ac:dyDescent="0.25">
      <c r="A2" s="15">
        <v>2019</v>
      </c>
      <c r="B2" s="49">
        <v>2.2963851385730427E-2</v>
      </c>
      <c r="C2" s="49">
        <v>2.2028445648492934E-2</v>
      </c>
      <c r="D2" s="49">
        <v>-9.3540573723749354E-4</v>
      </c>
      <c r="E2" s="50"/>
      <c r="F2" s="49"/>
      <c r="G2" s="51"/>
    </row>
    <row r="3" spans="1:7" x14ac:dyDescent="0.25">
      <c r="A3" s="15">
        <v>2020</v>
      </c>
      <c r="B3" s="49">
        <v>5.7329515236389961E-2</v>
      </c>
      <c r="C3" s="49">
        <v>6.4944544441921659E-2</v>
      </c>
      <c r="D3" s="49">
        <v>7.6150292055316982E-3</v>
      </c>
      <c r="E3" s="50">
        <v>5.7329515236389961E-2</v>
      </c>
      <c r="F3" s="49">
        <v>6.6713431221080199E-2</v>
      </c>
      <c r="G3" s="51">
        <v>9.3839159846902387E-3</v>
      </c>
    </row>
    <row r="4" spans="1:7" x14ac:dyDescent="0.25">
      <c r="A4" s="15">
        <v>2021</v>
      </c>
      <c r="B4" s="49">
        <v>2.5303522189957794E-2</v>
      </c>
      <c r="C4" s="49">
        <v>9.1839246544818121E-3</v>
      </c>
      <c r="D4" s="49">
        <v>-1.6119597535475982E-2</v>
      </c>
      <c r="E4" s="50">
        <v>2.5303522189957794E-2</v>
      </c>
      <c r="F4" s="49">
        <v>4.8011017725952954E-3</v>
      </c>
      <c r="G4" s="51">
        <v>-2.0502420417362499E-2</v>
      </c>
    </row>
    <row r="5" spans="1:7" x14ac:dyDescent="0.25">
      <c r="A5" s="15">
        <v>2022</v>
      </c>
      <c r="B5" s="49">
        <v>-0.11049892616706813</v>
      </c>
      <c r="C5" s="49">
        <v>-0.13070732625145642</v>
      </c>
      <c r="D5" s="49">
        <v>-2.0208400084388289E-2</v>
      </c>
      <c r="E5" s="50">
        <v>-0.11049892616706813</v>
      </c>
      <c r="F5" s="49">
        <v>-0.12576984765979926</v>
      </c>
      <c r="G5" s="51">
        <v>-1.5270921492731127E-2</v>
      </c>
    </row>
    <row r="6" spans="1:7" ht="15.75" thickBot="1" x14ac:dyDescent="0.3">
      <c r="A6" s="15">
        <v>2023</v>
      </c>
      <c r="B6" s="49">
        <v>0.13664365402115175</v>
      </c>
      <c r="C6" s="49">
        <v>0.1414325486690402</v>
      </c>
      <c r="D6" s="49">
        <v>4.7888946478884531E-3</v>
      </c>
      <c r="E6" s="50">
        <v>0.13664365402115175</v>
      </c>
      <c r="F6" s="49">
        <v>0.13593099932407249</v>
      </c>
      <c r="G6" s="51">
        <v>-7.1265469707926243E-4</v>
      </c>
    </row>
    <row r="7" spans="1:7" ht="15.75" thickBot="1" x14ac:dyDescent="0.3">
      <c r="A7" s="16" t="s">
        <v>10</v>
      </c>
      <c r="B7" s="52">
        <v>1.2063477133006151E-2</v>
      </c>
      <c r="C7" s="52">
        <v>4.5033047594866815E-4</v>
      </c>
      <c r="D7" s="52">
        <v>-1.1613146657057483E-2</v>
      </c>
      <c r="E7" s="53">
        <v>1.2063477133006151E-2</v>
      </c>
      <c r="F7" s="52">
        <v>-7.2287664279269137E-4</v>
      </c>
      <c r="G7" s="54">
        <v>-1.2786353775798842E-2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9D4B-F3E4-4355-82F0-4F5831FE217D}">
  <dimension ref="A1:T29"/>
  <sheetViews>
    <sheetView workbookViewId="0">
      <selection activeCell="I2" sqref="I2:K2"/>
    </sheetView>
  </sheetViews>
  <sheetFormatPr defaultColWidth="11.42578125" defaultRowHeight="15" x14ac:dyDescent="0.25"/>
  <cols>
    <col min="1" max="1" width="9.140625" style="1"/>
    <col min="2" max="2" width="11.5703125" style="1"/>
    <col min="4" max="4" width="14.28515625" customWidth="1"/>
    <col min="5" max="5" width="11.5703125" style="22"/>
    <col min="8" max="8" width="16.42578125" style="22" customWidth="1"/>
    <col min="9" max="9" width="13.42578125" customWidth="1"/>
    <col min="13" max="15" width="11.5703125" style="22"/>
  </cols>
  <sheetData>
    <row r="1" spans="1:15" ht="15.75" thickBot="1" x14ac:dyDescent="0.3">
      <c r="J1" s="12" t="s">
        <v>26</v>
      </c>
    </row>
    <row r="2" spans="1:15" ht="15.75" thickBot="1" x14ac:dyDescent="0.3">
      <c r="A2" s="9"/>
      <c r="B2" s="12" t="s">
        <v>23</v>
      </c>
      <c r="C2" s="10" t="s">
        <v>22</v>
      </c>
      <c r="D2" s="23" t="s">
        <v>2</v>
      </c>
      <c r="E2" s="10" t="s">
        <v>24</v>
      </c>
      <c r="F2" s="10" t="s">
        <v>25</v>
      </c>
      <c r="G2" s="23" t="s">
        <v>2</v>
      </c>
      <c r="H2" s="12" t="s">
        <v>6</v>
      </c>
      <c r="I2" s="10" t="s">
        <v>5</v>
      </c>
      <c r="J2" s="10" t="s">
        <v>7</v>
      </c>
      <c r="K2" s="11" t="s">
        <v>8</v>
      </c>
      <c r="L2" s="26" t="s">
        <v>2</v>
      </c>
      <c r="M2" s="27" t="s">
        <v>2</v>
      </c>
      <c r="N2" s="23" t="s">
        <v>2</v>
      </c>
      <c r="O2"/>
    </row>
    <row r="3" spans="1:15" x14ac:dyDescent="0.25">
      <c r="A3" s="3">
        <v>2010</v>
      </c>
      <c r="B3" s="13">
        <v>4.611992171234558E-2</v>
      </c>
      <c r="C3" s="4">
        <v>4.3147026329061422E-2</v>
      </c>
      <c r="D3" s="24">
        <f>10000*(C3-B3)</f>
        <v>-29.728953832841576</v>
      </c>
      <c r="E3" s="17">
        <v>6.0722659772740606E-3</v>
      </c>
      <c r="F3" s="18">
        <v>4.1386788241540406E-2</v>
      </c>
      <c r="G3" s="32">
        <f>10000*(F3-E3)</f>
        <v>353.14522264266344</v>
      </c>
      <c r="H3" s="13">
        <v>3.0667282480125957E-2</v>
      </c>
      <c r="I3" s="18">
        <v>2.9340159281997291E-2</v>
      </c>
      <c r="J3" s="18">
        <v>2.9637538297823562E-2</v>
      </c>
      <c r="K3" s="19"/>
      <c r="L3" s="28">
        <f>10000*(I3-H3)</f>
        <v>-13.271231981286657</v>
      </c>
      <c r="M3" s="29">
        <f>10000*(J3-H3)</f>
        <v>-10.297441823023945</v>
      </c>
      <c r="N3" s="24"/>
      <c r="O3"/>
    </row>
    <row r="4" spans="1:15" x14ac:dyDescent="0.25">
      <c r="A4" s="3">
        <v>2011</v>
      </c>
      <c r="B4" s="13">
        <v>6.3524237113528281E-2</v>
      </c>
      <c r="C4" s="4">
        <v>7.0467313014830779E-2</v>
      </c>
      <c r="D4" s="24">
        <f t="shared" ref="D4:D20" si="0">10000*(C4-B4)</f>
        <v>69.430759013024982</v>
      </c>
      <c r="E4" s="13">
        <v>3.4062387952671136E-2</v>
      </c>
      <c r="F4" s="4">
        <v>7.3142923814632832E-2</v>
      </c>
      <c r="G4" s="24">
        <f t="shared" ref="G4:G20" si="1">10000*(F4-E4)</f>
        <v>390.80535861961698</v>
      </c>
      <c r="H4" s="13">
        <v>1.4860263024555787E-2</v>
      </c>
      <c r="I4" s="4">
        <v>1.1671601689347E-2</v>
      </c>
      <c r="J4" s="4">
        <v>1.4346018996839627E-2</v>
      </c>
      <c r="K4" s="5"/>
      <c r="L4" s="28">
        <f t="shared" ref="L4:L20" si="2">10000*(I4-H4)</f>
        <v>-31.886613352087867</v>
      </c>
      <c r="M4" s="29">
        <f t="shared" ref="M4:M20" si="3">10000*(J4-H4)</f>
        <v>-5.1424402771615974</v>
      </c>
      <c r="N4" s="24"/>
      <c r="O4"/>
    </row>
    <row r="5" spans="1:15" x14ac:dyDescent="0.25">
      <c r="A5" s="3">
        <v>2012</v>
      </c>
      <c r="B5" s="13">
        <v>1.6468126957630558E-2</v>
      </c>
      <c r="C5" s="4">
        <v>3.0592142838314018E-2</v>
      </c>
      <c r="D5" s="24">
        <f t="shared" si="0"/>
        <v>141.24015880683461</v>
      </c>
      <c r="E5" s="13">
        <v>0.10650716597318532</v>
      </c>
      <c r="F5" s="4">
        <v>7.3909369700479344E-2</v>
      </c>
      <c r="G5" s="24">
        <f t="shared" si="1"/>
        <v>-325.97796272705983</v>
      </c>
      <c r="H5" s="13">
        <v>0.13592626288529286</v>
      </c>
      <c r="I5" s="4">
        <v>0.13991957547853273</v>
      </c>
      <c r="J5" s="4">
        <v>0.12962110132136306</v>
      </c>
      <c r="K5" s="5"/>
      <c r="L5" s="28">
        <f t="shared" si="2"/>
        <v>39.933125932398724</v>
      </c>
      <c r="M5" s="29">
        <f t="shared" si="3"/>
        <v>-63.05161563929795</v>
      </c>
      <c r="N5" s="24"/>
      <c r="O5"/>
    </row>
    <row r="6" spans="1:15" x14ac:dyDescent="0.25">
      <c r="A6" s="3">
        <v>2013</v>
      </c>
      <c r="B6" s="13">
        <v>-3.9974830677854012E-2</v>
      </c>
      <c r="C6" s="4">
        <v>-2.9510114367466311E-2</v>
      </c>
      <c r="D6" s="24">
        <f t="shared" si="0"/>
        <v>104.64716310387701</v>
      </c>
      <c r="E6" s="13">
        <v>2.2144461273306604E-2</v>
      </c>
      <c r="F6" s="4">
        <v>-1.4041636312816075E-2</v>
      </c>
      <c r="G6" s="24">
        <f t="shared" si="1"/>
        <v>-361.86097586122679</v>
      </c>
      <c r="H6" s="13">
        <v>2.3702740827122648E-2</v>
      </c>
      <c r="I6" s="4">
        <v>2.487442408545304E-2</v>
      </c>
      <c r="J6" s="4">
        <v>2.3572508049149121E-2</v>
      </c>
      <c r="K6" s="5"/>
      <c r="L6" s="28">
        <f t="shared" si="2"/>
        <v>11.716832583303916</v>
      </c>
      <c r="M6" s="29">
        <f t="shared" si="3"/>
        <v>-1.3023277797352684</v>
      </c>
      <c r="N6" s="24"/>
      <c r="O6"/>
    </row>
    <row r="7" spans="1:15" x14ac:dyDescent="0.25">
      <c r="A7" s="3">
        <v>2014</v>
      </c>
      <c r="B7" s="13">
        <v>-4.7582384248407994E-3</v>
      </c>
      <c r="C7" s="4">
        <v>-2.1936721738351483E-3</v>
      </c>
      <c r="D7" s="24">
        <f t="shared" si="0"/>
        <v>25.645662510056511</v>
      </c>
      <c r="E7" s="13">
        <v>0.1318788002656992</v>
      </c>
      <c r="F7" s="4">
        <v>0.11436427275142136</v>
      </c>
      <c r="G7" s="24">
        <f t="shared" si="1"/>
        <v>-175.14527514277844</v>
      </c>
      <c r="H7" s="13">
        <v>8.3952892438546201E-2</v>
      </c>
      <c r="I7" s="4">
        <v>8.310826683475514E-2</v>
      </c>
      <c r="J7" s="4">
        <v>8.4922988936726451E-2</v>
      </c>
      <c r="K7" s="5"/>
      <c r="L7" s="28">
        <f t="shared" si="2"/>
        <v>-8.4462560379106044</v>
      </c>
      <c r="M7" s="29">
        <f t="shared" si="3"/>
        <v>9.7009649818025068</v>
      </c>
      <c r="N7" s="24"/>
      <c r="O7"/>
    </row>
    <row r="8" spans="1:15" x14ac:dyDescent="0.25">
      <c r="A8" s="3">
        <v>2015</v>
      </c>
      <c r="B8" s="13">
        <v>-3.5749399868973741E-2</v>
      </c>
      <c r="C8" s="4">
        <v>-4.8513484601290457E-2</v>
      </c>
      <c r="D8" s="24">
        <f t="shared" si="0"/>
        <v>-127.64084732316716</v>
      </c>
      <c r="E8" s="13">
        <v>1.6522210184181985E-2</v>
      </c>
      <c r="F8" s="4">
        <v>3.8750741787751952E-3</v>
      </c>
      <c r="G8" s="24">
        <f t="shared" si="1"/>
        <v>-126.4713600540679</v>
      </c>
      <c r="H8" s="13">
        <v>-5.6299968165507419E-3</v>
      </c>
      <c r="I8" s="4">
        <v>-5.8924050078706935E-3</v>
      </c>
      <c r="J8" s="4">
        <v>-4.9829955528898351E-3</v>
      </c>
      <c r="K8" s="5">
        <v>-5.8913792530383979E-3</v>
      </c>
      <c r="L8" s="28">
        <f t="shared" si="2"/>
        <v>-2.6240819131995163</v>
      </c>
      <c r="M8" s="29">
        <f t="shared" si="3"/>
        <v>6.4700126366090682</v>
      </c>
      <c r="N8" s="24">
        <f t="shared" ref="N4:N20" si="4">10000*(K8-H8)</f>
        <v>-2.6138243648765602</v>
      </c>
      <c r="O8"/>
    </row>
    <row r="9" spans="1:15" x14ac:dyDescent="0.25">
      <c r="A9" s="3">
        <v>2016</v>
      </c>
      <c r="B9" s="13">
        <v>1.600448732537485E-2</v>
      </c>
      <c r="C9" s="4">
        <v>1.0152899595762488E-2</v>
      </c>
      <c r="D9" s="24">
        <f t="shared" si="0"/>
        <v>-58.51587729612362</v>
      </c>
      <c r="E9" s="13">
        <v>3.1974420463628972E-2</v>
      </c>
      <c r="F9" s="4">
        <v>4.0046832215655748E-2</v>
      </c>
      <c r="G9" s="24">
        <f t="shared" si="1"/>
        <v>80.724117520267754</v>
      </c>
      <c r="H9" s="13">
        <v>4.727407783880988E-2</v>
      </c>
      <c r="I9" s="4">
        <v>4.598492419750988E-2</v>
      </c>
      <c r="J9" s="4">
        <v>4.4407969202221453E-2</v>
      </c>
      <c r="K9" s="5">
        <v>4.598472964827649E-2</v>
      </c>
      <c r="L9" s="28">
        <f t="shared" si="2"/>
        <v>-12.891536413000004</v>
      </c>
      <c r="M9" s="29">
        <f t="shared" si="3"/>
        <v>-28.66108636588427</v>
      </c>
      <c r="N9" s="24">
        <f t="shared" si="4"/>
        <v>-12.893481905333903</v>
      </c>
      <c r="O9"/>
    </row>
    <row r="10" spans="1:15" x14ac:dyDescent="0.25">
      <c r="A10" s="3">
        <v>2017</v>
      </c>
      <c r="B10" s="13">
        <v>7.4891337549353398E-2</v>
      </c>
      <c r="C10" s="4">
        <v>8.1636167685843919E-2</v>
      </c>
      <c r="D10" s="24">
        <f t="shared" si="0"/>
        <v>67.448301364905205</v>
      </c>
      <c r="E10" s="13">
        <v>1.5491866769945517E-3</v>
      </c>
      <c r="F10" s="4">
        <v>-4.6808426955783355E-3</v>
      </c>
      <c r="G10" s="24">
        <f t="shared" si="1"/>
        <v>-62.300293725728871</v>
      </c>
      <c r="H10" s="13">
        <v>2.4122596896668513E-2</v>
      </c>
      <c r="I10" s="4">
        <v>2.4674443867923612E-2</v>
      </c>
      <c r="J10" s="4">
        <v>2.4752129319782323E-2</v>
      </c>
      <c r="K10" s="5">
        <v>2.4674136951271519E-2</v>
      </c>
      <c r="L10" s="28">
        <f t="shared" si="2"/>
        <v>5.5184697125509885</v>
      </c>
      <c r="M10" s="29">
        <f t="shared" si="3"/>
        <v>6.2953242311380997</v>
      </c>
      <c r="N10" s="24">
        <f t="shared" si="4"/>
        <v>5.5154005460300581</v>
      </c>
      <c r="O10"/>
    </row>
    <row r="11" spans="1:15" x14ac:dyDescent="0.25">
      <c r="A11" s="3">
        <v>2018</v>
      </c>
      <c r="B11" s="13">
        <v>-8.4075978338513657E-3</v>
      </c>
      <c r="C11" s="4">
        <v>-1.4141661369965974E-2</v>
      </c>
      <c r="D11" s="24">
        <f t="shared" si="0"/>
        <v>-57.340635361146084</v>
      </c>
      <c r="E11" s="13">
        <v>8.7651456560968732E-3</v>
      </c>
      <c r="F11" s="4">
        <v>1.6527702949513223E-2</v>
      </c>
      <c r="G11" s="24">
        <f t="shared" si="1"/>
        <v>77.6255729341635</v>
      </c>
      <c r="H11" s="13">
        <v>-1.2520200076952648E-2</v>
      </c>
      <c r="I11" s="4">
        <v>-1.1180692790773161E-2</v>
      </c>
      <c r="J11" s="4">
        <v>-1.1136366506294904E-2</v>
      </c>
      <c r="K11" s="5">
        <v>-1.1180828211422744E-2</v>
      </c>
      <c r="L11" s="28">
        <f t="shared" si="2"/>
        <v>13.395072861794866</v>
      </c>
      <c r="M11" s="29">
        <f t="shared" si="3"/>
        <v>13.838335706577443</v>
      </c>
      <c r="N11" s="24">
        <f t="shared" si="4"/>
        <v>13.393718655299036</v>
      </c>
      <c r="O11"/>
    </row>
    <row r="12" spans="1:15" x14ac:dyDescent="0.25">
      <c r="A12" s="3">
        <v>2019</v>
      </c>
      <c r="B12" s="13">
        <v>5.8977833876989072E-2</v>
      </c>
      <c r="C12" s="4">
        <v>5.5561163282057624E-2</v>
      </c>
      <c r="D12" s="24">
        <f t="shared" si="0"/>
        <v>-34.166705949314476</v>
      </c>
      <c r="E12" s="13">
        <v>6.7169264843683463E-2</v>
      </c>
      <c r="F12" s="4">
        <v>4.4485235033912218E-2</v>
      </c>
      <c r="G12" s="24">
        <f t="shared" si="1"/>
        <v>-226.84029809771243</v>
      </c>
      <c r="H12" s="13">
        <v>6.2404204521731232E-2</v>
      </c>
      <c r="I12" s="4">
        <v>6.0053140751386458E-2</v>
      </c>
      <c r="J12" s="4">
        <v>5.9184692455921395E-2</v>
      </c>
      <c r="K12" s="5">
        <v>6.0052965229080657E-2</v>
      </c>
      <c r="L12" s="28">
        <f t="shared" si="2"/>
        <v>-23.510637703447745</v>
      </c>
      <c r="M12" s="29">
        <f t="shared" si="3"/>
        <v>-32.195120658098375</v>
      </c>
      <c r="N12" s="24">
        <f t="shared" si="4"/>
        <v>-23.512392926505754</v>
      </c>
      <c r="O12"/>
    </row>
    <row r="13" spans="1:15" x14ac:dyDescent="0.25">
      <c r="A13" s="3">
        <v>2020</v>
      </c>
      <c r="B13" s="13">
        <v>0.10108110026021699</v>
      </c>
      <c r="C13" s="4">
        <v>0.10901036870531766</v>
      </c>
      <c r="D13" s="24">
        <f t="shared" si="0"/>
        <v>79.292684451006679</v>
      </c>
      <c r="E13" s="13">
        <v>5.0289363400518816E-2</v>
      </c>
      <c r="F13" s="4">
        <v>4.1064206309114226E-2</v>
      </c>
      <c r="G13" s="24">
        <f t="shared" si="1"/>
        <v>-92.251570914045899</v>
      </c>
      <c r="H13" s="13">
        <v>2.7715075588149007E-2</v>
      </c>
      <c r="I13" s="4">
        <v>2.6906421885554366E-2</v>
      </c>
      <c r="J13" s="4">
        <v>2.7029145035554203E-2</v>
      </c>
      <c r="K13" s="5">
        <v>2.5223741664971877E-2</v>
      </c>
      <c r="L13" s="28">
        <f t="shared" si="2"/>
        <v>-8.0865370259464164</v>
      </c>
      <c r="M13" s="29">
        <f t="shared" si="3"/>
        <v>-6.8593055259480451</v>
      </c>
      <c r="N13" s="24">
        <f t="shared" si="4"/>
        <v>-24.913339231771303</v>
      </c>
      <c r="O13"/>
    </row>
    <row r="14" spans="1:15" x14ac:dyDescent="0.25">
      <c r="A14" s="3">
        <v>2021</v>
      </c>
      <c r="B14" s="13">
        <v>-6.9717947667617963E-2</v>
      </c>
      <c r="C14" s="4">
        <v>-7.1459681079686699E-2</v>
      </c>
      <c r="D14" s="24">
        <f t="shared" si="0"/>
        <v>-17.417334120687357</v>
      </c>
      <c r="E14" s="13">
        <v>-3.5417062511875264E-2</v>
      </c>
      <c r="F14" s="4">
        <v>-3.7561057699853295E-2</v>
      </c>
      <c r="G14" s="24">
        <f t="shared" si="1"/>
        <v>-21.439951879780317</v>
      </c>
      <c r="H14" s="13">
        <v>-9.6556185264363714E-3</v>
      </c>
      <c r="I14" s="4">
        <v>-9.586578437804083E-3</v>
      </c>
      <c r="J14" s="4">
        <v>-9.8813533257341435E-3</v>
      </c>
      <c r="K14" s="5">
        <v>-9.9002875421516645E-3</v>
      </c>
      <c r="L14" s="28">
        <f t="shared" si="2"/>
        <v>0.69040088632288388</v>
      </c>
      <c r="M14" s="29">
        <f t="shared" si="3"/>
        <v>-2.2573479929777207</v>
      </c>
      <c r="N14" s="24">
        <f t="shared" si="4"/>
        <v>-2.4466901571529309</v>
      </c>
      <c r="O14"/>
    </row>
    <row r="15" spans="1:15" x14ac:dyDescent="0.25">
      <c r="A15" s="3">
        <v>2022</v>
      </c>
      <c r="B15" s="13">
        <v>-0.18263239677249532</v>
      </c>
      <c r="C15" s="4">
        <v>-0.19998079528085522</v>
      </c>
      <c r="D15" s="24">
        <f t="shared" si="0"/>
        <v>-173.48398508359898</v>
      </c>
      <c r="E15" s="13">
        <v>-0.18516329827049605</v>
      </c>
      <c r="F15" s="4">
        <v>-0.1905718350934078</v>
      </c>
      <c r="G15" s="37">
        <f t="shared" si="1"/>
        <v>-54.085368229117577</v>
      </c>
      <c r="H15" s="13">
        <v>-0.13645679120518972</v>
      </c>
      <c r="I15" s="4">
        <v>-0.13615280157972443</v>
      </c>
      <c r="J15" s="4">
        <v>-0.13481109196332408</v>
      </c>
      <c r="K15" s="5">
        <v>-0.13477939356032465</v>
      </c>
      <c r="L15" s="28">
        <f t="shared" si="2"/>
        <v>3.0398962546529518</v>
      </c>
      <c r="M15" s="29">
        <f t="shared" si="3"/>
        <v>16.456992418656391</v>
      </c>
      <c r="N15" s="24">
        <f t="shared" si="4"/>
        <v>16.77397644865075</v>
      </c>
      <c r="O15"/>
    </row>
    <row r="16" spans="1:15" ht="15.75" thickBot="1" x14ac:dyDescent="0.3">
      <c r="A16" s="6">
        <v>2023</v>
      </c>
      <c r="B16" s="14">
        <v>5.1850430355052213E-2</v>
      </c>
      <c r="C16" s="7">
        <v>5.6859027013891117E-2</v>
      </c>
      <c r="D16" s="25">
        <f t="shared" si="0"/>
        <v>50.085966588389041</v>
      </c>
      <c r="E16" s="14">
        <v>7.9002079002078895E-2</v>
      </c>
      <c r="F16" s="7">
        <v>6.3211472542847202E-2</v>
      </c>
      <c r="G16" s="38">
        <f t="shared" si="1"/>
        <v>-157.90606459231694</v>
      </c>
      <c r="H16" s="13">
        <v>8.1870859545414065E-2</v>
      </c>
      <c r="I16" s="4">
        <v>8.1551875867503787E-2</v>
      </c>
      <c r="J16" s="4">
        <v>8.0029791657102667E-2</v>
      </c>
      <c r="K16" s="5">
        <v>7.990067714990845E-2</v>
      </c>
      <c r="L16" s="28">
        <f t="shared" si="2"/>
        <v>-3.1898367791027837</v>
      </c>
      <c r="M16" s="29">
        <f t="shared" si="3"/>
        <v>-18.410678883113984</v>
      </c>
      <c r="N16" s="24">
        <f t="shared" si="4"/>
        <v>-19.701823955056152</v>
      </c>
      <c r="O16"/>
    </row>
    <row r="17" spans="1:20" x14ac:dyDescent="0.25">
      <c r="A17" s="3" t="s">
        <v>10</v>
      </c>
      <c r="B17" s="13">
        <v>-7.1756285403620668E-2</v>
      </c>
      <c r="C17" s="4">
        <v>-7.7486465217968425E-2</v>
      </c>
      <c r="D17" s="24">
        <f t="shared" si="0"/>
        <v>-57.301798143477576</v>
      </c>
      <c r="E17" s="13">
        <v>-5.3448721635962926E-2</v>
      </c>
      <c r="F17" s="4">
        <v>-6.0874316776500903E-2</v>
      </c>
      <c r="G17" s="37">
        <f t="shared" si="1"/>
        <v>-74.255951405379776</v>
      </c>
      <c r="H17" s="17">
        <v>-2.5574637294320524E-2</v>
      </c>
      <c r="I17" s="18">
        <v>-2.5533454994879023E-2</v>
      </c>
      <c r="J17" s="18">
        <v>-2.5583477708166602E-2</v>
      </c>
      <c r="K17" s="19">
        <v>-2.5616620558418401E-2</v>
      </c>
      <c r="L17" s="30">
        <f t="shared" si="2"/>
        <v>0.41182299441500092</v>
      </c>
      <c r="M17" s="31">
        <f t="shared" si="3"/>
        <v>-8.8404138460784765E-2</v>
      </c>
      <c r="N17" s="32">
        <f t="shared" si="4"/>
        <v>-0.41983264097877893</v>
      </c>
      <c r="O17"/>
    </row>
    <row r="18" spans="1:20" x14ac:dyDescent="0.25">
      <c r="A18" s="3" t="s">
        <v>11</v>
      </c>
      <c r="B18" s="13">
        <v>-1.3860293401848578E-2</v>
      </c>
      <c r="C18" s="4">
        <v>-1.6742087531257943E-2</v>
      </c>
      <c r="D18" s="24">
        <f t="shared" si="0"/>
        <v>-28.81794129409365</v>
      </c>
      <c r="E18" s="13">
        <v>-1.0091751583722663E-2</v>
      </c>
      <c r="F18" s="4">
        <v>-2.0712536881550503E-2</v>
      </c>
      <c r="G18" s="37">
        <f t="shared" si="1"/>
        <v>-106.2078529782784</v>
      </c>
      <c r="H18" s="13">
        <v>2.0321344211466918E-3</v>
      </c>
      <c r="I18" s="4">
        <v>1.4559739790185322E-3</v>
      </c>
      <c r="J18" s="4">
        <v>1.2849220209365519E-3</v>
      </c>
      <c r="K18" s="5">
        <v>1.0762645990989306E-3</v>
      </c>
      <c r="L18" s="28">
        <f t="shared" si="2"/>
        <v>-5.7616044212815964</v>
      </c>
      <c r="M18" s="29">
        <f t="shared" si="3"/>
        <v>-7.472124002101399</v>
      </c>
      <c r="N18" s="24">
        <f t="shared" si="4"/>
        <v>-9.5586982204776128</v>
      </c>
      <c r="O18"/>
    </row>
    <row r="19" spans="1:20" x14ac:dyDescent="0.25">
      <c r="A19" s="3" t="s">
        <v>12</v>
      </c>
      <c r="B19" s="13">
        <v>-8.5817251625230906E-4</v>
      </c>
      <c r="C19" s="4">
        <v>-2.8796807273199221E-3</v>
      </c>
      <c r="D19" s="24">
        <f t="shared" si="0"/>
        <v>-20.215082110676128</v>
      </c>
      <c r="E19" s="13">
        <v>-5.7605085452747673E-3</v>
      </c>
      <c r="F19" s="4">
        <v>-1.3190726286535281E-2</v>
      </c>
      <c r="G19" s="37">
        <f t="shared" si="1"/>
        <v>-74.302177412605147</v>
      </c>
      <c r="H19" s="13">
        <v>3.0600104368054826E-3</v>
      </c>
      <c r="I19" s="4">
        <v>2.9193752738614354E-3</v>
      </c>
      <c r="J19" s="4">
        <v>2.8142961856965076E-3</v>
      </c>
      <c r="K19" s="5">
        <v>2.6476807263866586E-3</v>
      </c>
      <c r="L19" s="28">
        <f t="shared" si="2"/>
        <v>-1.4063516294404721</v>
      </c>
      <c r="M19" s="29">
        <f t="shared" si="3"/>
        <v>-2.4571425110897493</v>
      </c>
      <c r="N19" s="24">
        <f t="shared" si="4"/>
        <v>-4.1232971041882394</v>
      </c>
      <c r="O19"/>
    </row>
    <row r="20" spans="1:20" ht="15.75" thickBot="1" x14ac:dyDescent="0.3">
      <c r="A20" s="6" t="s">
        <v>13</v>
      </c>
      <c r="B20" s="14">
        <v>-3.1256724116921486E-3</v>
      </c>
      <c r="C20" s="7">
        <v>-6.1819114536504349E-3</v>
      </c>
      <c r="D20" s="25">
        <f t="shared" si="0"/>
        <v>-30.562390419582862</v>
      </c>
      <c r="E20" s="14">
        <v>1.3216560859012905E-2</v>
      </c>
      <c r="F20" s="7">
        <v>5.8639194210567958E-3</v>
      </c>
      <c r="G20" s="38">
        <f t="shared" si="1"/>
        <v>-73.526414379561089</v>
      </c>
      <c r="H20" s="14">
        <v>1.435674000132825E-2</v>
      </c>
      <c r="I20" s="7">
        <v>1.4026451034296672E-2</v>
      </c>
      <c r="J20" s="7">
        <v>1.4061561329781203E-2</v>
      </c>
      <c r="K20" s="8"/>
      <c r="L20" s="33">
        <f t="shared" si="2"/>
        <v>-3.3028896703157784</v>
      </c>
      <c r="M20" s="34">
        <f t="shared" si="3"/>
        <v>-2.9517867154704724</v>
      </c>
      <c r="N20" s="25"/>
      <c r="O20"/>
    </row>
    <row r="22" spans="1:20" ht="15.75" thickBot="1" x14ac:dyDescent="0.3"/>
    <row r="23" spans="1:20" ht="15.75" thickBot="1" x14ac:dyDescent="0.3">
      <c r="A23" s="9"/>
      <c r="B23" s="12" t="s">
        <v>17</v>
      </c>
      <c r="C23" s="10" t="s">
        <v>14</v>
      </c>
      <c r="D23" s="10" t="s">
        <v>16</v>
      </c>
      <c r="E23" s="11" t="s">
        <v>18</v>
      </c>
      <c r="F23" s="12" t="s">
        <v>2</v>
      </c>
      <c r="G23" s="10" t="s">
        <v>2</v>
      </c>
      <c r="H23" s="11" t="s">
        <v>2</v>
      </c>
      <c r="I23" s="10" t="s">
        <v>20</v>
      </c>
      <c r="J23" s="10" t="s">
        <v>19</v>
      </c>
      <c r="K23" s="10" t="s">
        <v>21</v>
      </c>
      <c r="L23" s="10" t="s">
        <v>2</v>
      </c>
      <c r="M23" s="11" t="s">
        <v>2</v>
      </c>
      <c r="N23"/>
      <c r="O23"/>
      <c r="R23" s="22"/>
      <c r="S23" s="22"/>
      <c r="T23" s="22"/>
    </row>
    <row r="24" spans="1:20" x14ac:dyDescent="0.25">
      <c r="A24" s="3">
        <v>2019</v>
      </c>
      <c r="B24" s="3"/>
      <c r="C24" s="39"/>
      <c r="D24" s="39"/>
      <c r="E24" s="35"/>
      <c r="F24" s="3"/>
      <c r="G24" s="39"/>
      <c r="H24" s="35"/>
      <c r="I24" s="49">
        <v>2.2963851385730427E-2</v>
      </c>
      <c r="J24" s="49">
        <v>2.2028445648492934E-2</v>
      </c>
      <c r="K24" s="4"/>
      <c r="L24" s="30">
        <f>10000*(J24-I24)</f>
        <v>-9.3540573723749354</v>
      </c>
      <c r="M24" s="32"/>
      <c r="N24"/>
      <c r="O24"/>
      <c r="R24" s="22"/>
      <c r="S24" s="22"/>
      <c r="T24" s="22"/>
    </row>
    <row r="25" spans="1:20" x14ac:dyDescent="0.25">
      <c r="A25" s="3">
        <v>2020</v>
      </c>
      <c r="B25" s="20"/>
      <c r="C25" s="40"/>
      <c r="D25" s="40"/>
      <c r="E25" s="36"/>
      <c r="F25" s="20"/>
      <c r="G25" s="40"/>
      <c r="H25" s="36"/>
      <c r="I25" s="49">
        <v>5.7329515236389961E-2</v>
      </c>
      <c r="J25" s="49">
        <v>6.4944544441921659E-2</v>
      </c>
      <c r="K25" s="49">
        <v>6.6713431221080199E-2</v>
      </c>
      <c r="L25" s="28">
        <f t="shared" ref="L25:L29" si="5">10000*(J25-I25)</f>
        <v>76.150292055316982</v>
      </c>
      <c r="M25" s="24">
        <f t="shared" ref="M25:M29" si="6">10000*(K25-I25)</f>
        <v>93.83915984690239</v>
      </c>
      <c r="N25"/>
      <c r="O25"/>
      <c r="R25" s="22"/>
      <c r="S25" s="22"/>
      <c r="T25" s="22"/>
    </row>
    <row r="26" spans="1:20" x14ac:dyDescent="0.25">
      <c r="A26" s="3">
        <v>2021</v>
      </c>
      <c r="B26" s="13">
        <v>-1.0419387362490706E-2</v>
      </c>
      <c r="C26" s="4">
        <v>-1.5490987956185087E-2</v>
      </c>
      <c r="D26" s="4">
        <v>9.5628237547606743E-2</v>
      </c>
      <c r="E26" s="5">
        <v>2.3399050426248902E-2</v>
      </c>
      <c r="F26" s="28">
        <f t="shared" ref="F26:F28" si="7">10000*(C26-B26)</f>
        <v>-50.716005936943809</v>
      </c>
      <c r="G26" s="29">
        <f t="shared" ref="G26:G28" si="8">10000*(D26-B26)</f>
        <v>1060.4762491009744</v>
      </c>
      <c r="H26" s="24">
        <f t="shared" ref="H26:H28" si="9">10000*(E26-B26)</f>
        <v>338.18437788739607</v>
      </c>
      <c r="I26" s="49">
        <v>2.5303522189957794E-2</v>
      </c>
      <c r="J26" s="49">
        <v>9.1839246544818121E-3</v>
      </c>
      <c r="K26" s="49">
        <v>4.8011017725952954E-3</v>
      </c>
      <c r="L26" s="28">
        <f t="shared" si="5"/>
        <v>-161.19597535475981</v>
      </c>
      <c r="M26" s="24">
        <f t="shared" si="6"/>
        <v>-205.02420417362498</v>
      </c>
      <c r="N26"/>
      <c r="O26"/>
      <c r="R26" s="22"/>
      <c r="S26" s="22"/>
      <c r="T26" s="22"/>
    </row>
    <row r="27" spans="1:20" x14ac:dyDescent="0.25">
      <c r="A27" s="3">
        <v>2022</v>
      </c>
      <c r="B27" s="13">
        <v>-0.15761571360864135</v>
      </c>
      <c r="C27" s="4">
        <v>-0.15117397785738107</v>
      </c>
      <c r="D27" s="4">
        <v>-1.0950116568269053E-2</v>
      </c>
      <c r="E27" s="5">
        <v>-0.13864820415461698</v>
      </c>
      <c r="F27" s="28">
        <f t="shared" si="7"/>
        <v>64.417357512602806</v>
      </c>
      <c r="G27" s="29">
        <f t="shared" si="8"/>
        <v>1466.6559704037229</v>
      </c>
      <c r="H27" s="24">
        <f t="shared" si="9"/>
        <v>189.67509454024366</v>
      </c>
      <c r="I27" s="49">
        <v>-0.11049892616706813</v>
      </c>
      <c r="J27" s="49">
        <v>-0.13070732625145642</v>
      </c>
      <c r="K27" s="49">
        <v>-0.12576984765979926</v>
      </c>
      <c r="L27" s="28">
        <f t="shared" si="5"/>
        <v>-202.0840008438829</v>
      </c>
      <c r="M27" s="24">
        <f t="shared" si="6"/>
        <v>-152.70921492731128</v>
      </c>
      <c r="N27"/>
      <c r="O27"/>
      <c r="R27" s="22"/>
      <c r="S27" s="22"/>
      <c r="T27" s="22"/>
    </row>
    <row r="28" spans="1:20" ht="15.75" thickBot="1" x14ac:dyDescent="0.3">
      <c r="A28" s="6">
        <v>2023</v>
      </c>
      <c r="B28" s="14">
        <v>8.5186308200256189E-2</v>
      </c>
      <c r="C28" s="7">
        <v>8.436165996716305E-2</v>
      </c>
      <c r="D28" s="7"/>
      <c r="E28" s="8"/>
      <c r="F28" s="28">
        <f t="shared" si="7"/>
        <v>-8.2464823309313928</v>
      </c>
      <c r="G28" s="29"/>
      <c r="H28" s="24"/>
      <c r="I28" s="49">
        <v>0.13664365402115175</v>
      </c>
      <c r="J28" s="49">
        <v>0.1414325486690402</v>
      </c>
      <c r="K28" s="49">
        <v>0.13593099932407249</v>
      </c>
      <c r="L28" s="28">
        <f t="shared" si="5"/>
        <v>47.888946478884534</v>
      </c>
      <c r="M28" s="24">
        <f t="shared" si="6"/>
        <v>-7.1265469707926243</v>
      </c>
      <c r="N28"/>
      <c r="O28"/>
      <c r="R28" s="22"/>
      <c r="S28" s="22"/>
      <c r="T28" s="22"/>
    </row>
    <row r="29" spans="1:20" ht="15.75" thickBot="1" x14ac:dyDescent="0.3">
      <c r="A29" s="9" t="s">
        <v>10</v>
      </c>
      <c r="B29" s="9"/>
      <c r="C29" s="10"/>
      <c r="D29" s="10"/>
      <c r="E29" s="23"/>
      <c r="F29" s="12"/>
      <c r="G29" s="10"/>
      <c r="H29" s="23"/>
      <c r="I29" s="52">
        <v>1.2063477133006151E-2</v>
      </c>
      <c r="J29" s="52">
        <v>4.5033047594866815E-4</v>
      </c>
      <c r="K29" s="52">
        <v>-7.2287664279269137E-4</v>
      </c>
      <c r="L29" s="55">
        <f t="shared" si="5"/>
        <v>-116.13146657057483</v>
      </c>
      <c r="M29" s="56">
        <f t="shared" si="6"/>
        <v>-127.86353775798842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2814-1313-4314-B9CA-72E3F76C63BE}">
  <dimension ref="A1:F15"/>
  <sheetViews>
    <sheetView tabSelected="1" workbookViewId="0">
      <selection activeCell="B2" sqref="B2:F15"/>
    </sheetView>
  </sheetViews>
  <sheetFormatPr defaultRowHeight="15" x14ac:dyDescent="0.25"/>
  <cols>
    <col min="2" max="2" width="22.7109375" bestFit="1" customWidth="1"/>
    <col min="3" max="3" width="20.7109375" bestFit="1" customWidth="1"/>
  </cols>
  <sheetData>
    <row r="1" spans="1:6" ht="15.75" thickBot="1" x14ac:dyDescent="0.3">
      <c r="B1" s="10" t="s">
        <v>22</v>
      </c>
      <c r="C1" s="10" t="s">
        <v>25</v>
      </c>
      <c r="D1" s="10" t="s">
        <v>27</v>
      </c>
      <c r="E1" s="10" t="s">
        <v>28</v>
      </c>
      <c r="F1" s="11" t="s">
        <v>8</v>
      </c>
    </row>
    <row r="2" spans="1:6" x14ac:dyDescent="0.25">
      <c r="A2">
        <v>2010</v>
      </c>
      <c r="B2" s="22">
        <v>-29.728953832841576</v>
      </c>
      <c r="C2" s="57">
        <v>353.14522264266344</v>
      </c>
      <c r="D2" s="22">
        <v>-13.271231981286657</v>
      </c>
      <c r="E2" s="22">
        <v>-10.297441823023945</v>
      </c>
      <c r="F2" s="22"/>
    </row>
    <row r="3" spans="1:6" x14ac:dyDescent="0.25">
      <c r="A3">
        <v>2011</v>
      </c>
      <c r="B3" s="22">
        <v>69.430759013024982</v>
      </c>
      <c r="C3" s="22">
        <v>390.80535861961698</v>
      </c>
      <c r="D3" s="22">
        <v>-31.886613352087867</v>
      </c>
      <c r="E3" s="22">
        <v>-5.1424402771615974</v>
      </c>
      <c r="F3" s="22"/>
    </row>
    <row r="4" spans="1:6" x14ac:dyDescent="0.25">
      <c r="A4">
        <v>2012</v>
      </c>
      <c r="B4" s="22">
        <v>141.24015880683461</v>
      </c>
      <c r="C4" s="22">
        <v>-325.97796272705983</v>
      </c>
      <c r="D4" s="22">
        <v>39.933125932398724</v>
      </c>
      <c r="E4" s="22">
        <v>-63.05161563929795</v>
      </c>
      <c r="F4" s="22"/>
    </row>
    <row r="5" spans="1:6" x14ac:dyDescent="0.25">
      <c r="A5">
        <v>2013</v>
      </c>
      <c r="B5" s="22">
        <v>104.64716310387701</v>
      </c>
      <c r="C5" s="22">
        <v>-361.86097586122679</v>
      </c>
      <c r="D5" s="22">
        <v>11.716832583303916</v>
      </c>
      <c r="E5" s="22">
        <v>-1.3023277797352684</v>
      </c>
      <c r="F5" s="22"/>
    </row>
    <row r="6" spans="1:6" x14ac:dyDescent="0.25">
      <c r="A6">
        <v>2014</v>
      </c>
      <c r="B6" s="22">
        <v>25.645662510056511</v>
      </c>
      <c r="C6" s="22">
        <v>-175.14527514277844</v>
      </c>
      <c r="D6" s="22">
        <v>-8.4462560379106044</v>
      </c>
      <c r="E6" s="22">
        <v>9.7009649818025068</v>
      </c>
      <c r="F6" s="22"/>
    </row>
    <row r="7" spans="1:6" x14ac:dyDescent="0.25">
      <c r="A7">
        <v>2015</v>
      </c>
      <c r="B7" s="22">
        <v>-127.64084732316716</v>
      </c>
      <c r="C7" s="22">
        <v>-126.4713600540679</v>
      </c>
      <c r="D7" s="22">
        <v>-2.6240819131995163</v>
      </c>
      <c r="E7" s="22">
        <v>6.4700126366090682</v>
      </c>
      <c r="F7" s="22">
        <v>-2.6138243648765602</v>
      </c>
    </row>
    <row r="8" spans="1:6" x14ac:dyDescent="0.25">
      <c r="A8">
        <v>2016</v>
      </c>
      <c r="B8" s="22">
        <v>-58.51587729612362</v>
      </c>
      <c r="C8" s="22">
        <v>80.724117520267754</v>
      </c>
      <c r="D8" s="22">
        <v>-12.891536413000004</v>
      </c>
      <c r="E8" s="22">
        <v>-28.66108636588427</v>
      </c>
      <c r="F8" s="22">
        <v>-12.893481905333903</v>
      </c>
    </row>
    <row r="9" spans="1:6" x14ac:dyDescent="0.25">
      <c r="A9">
        <v>2017</v>
      </c>
      <c r="B9" s="22">
        <v>67.448301364905205</v>
      </c>
      <c r="C9" s="22">
        <v>-62.300293725728871</v>
      </c>
      <c r="D9" s="22">
        <v>5.5184697125509885</v>
      </c>
      <c r="E9" s="22">
        <v>6.2953242311380997</v>
      </c>
      <c r="F9" s="22">
        <v>5.5154005460300581</v>
      </c>
    </row>
    <row r="10" spans="1:6" x14ac:dyDescent="0.25">
      <c r="A10">
        <v>2018</v>
      </c>
      <c r="B10" s="22">
        <v>-57.340635361146084</v>
      </c>
      <c r="C10" s="22">
        <v>77.6255729341635</v>
      </c>
      <c r="D10" s="22">
        <v>13.395072861794866</v>
      </c>
      <c r="E10" s="22">
        <v>13.838335706577443</v>
      </c>
      <c r="F10" s="22">
        <v>13.393718655299036</v>
      </c>
    </row>
    <row r="11" spans="1:6" x14ac:dyDescent="0.25">
      <c r="A11">
        <v>2019</v>
      </c>
      <c r="B11" s="22">
        <v>-34.166705949314476</v>
      </c>
      <c r="C11" s="22">
        <v>-226.84029809771243</v>
      </c>
      <c r="D11" s="22">
        <v>-23.510637703447745</v>
      </c>
      <c r="E11" s="22">
        <v>-32.195120658098375</v>
      </c>
      <c r="F11" s="22">
        <v>-23.512392926505754</v>
      </c>
    </row>
    <row r="12" spans="1:6" x14ac:dyDescent="0.25">
      <c r="A12">
        <v>2020</v>
      </c>
      <c r="B12" s="22">
        <v>79.292684451006679</v>
      </c>
      <c r="C12" s="22">
        <v>-92.251570914045899</v>
      </c>
      <c r="D12" s="22">
        <v>-8.0865370259464164</v>
      </c>
      <c r="E12" s="22">
        <v>-6.8593055259480451</v>
      </c>
      <c r="F12" s="22">
        <v>-24.913339231771303</v>
      </c>
    </row>
    <row r="13" spans="1:6" x14ac:dyDescent="0.25">
      <c r="A13">
        <v>2021</v>
      </c>
      <c r="B13" s="22">
        <v>-17.417334120687357</v>
      </c>
      <c r="C13" s="22">
        <v>-21.439951879780317</v>
      </c>
      <c r="D13" s="22">
        <v>0.69040088632288388</v>
      </c>
      <c r="E13" s="22">
        <v>-2.2573479929777207</v>
      </c>
      <c r="F13" s="22">
        <v>-2.4466901571529309</v>
      </c>
    </row>
    <row r="14" spans="1:6" x14ac:dyDescent="0.25">
      <c r="A14">
        <v>2022</v>
      </c>
      <c r="B14" s="22">
        <v>-173.48398508359898</v>
      </c>
      <c r="C14" s="22">
        <v>-54.085368229117577</v>
      </c>
      <c r="D14" s="22">
        <v>3.0398962546529518</v>
      </c>
      <c r="E14" s="22">
        <v>16.456992418656391</v>
      </c>
      <c r="F14" s="22">
        <v>16.77397644865075</v>
      </c>
    </row>
    <row r="15" spans="1:6" x14ac:dyDescent="0.25">
      <c r="A15">
        <v>2023</v>
      </c>
      <c r="B15" s="22">
        <v>50.085966588389041</v>
      </c>
      <c r="C15" s="22">
        <v>-157.90606459231694</v>
      </c>
      <c r="D15" s="22">
        <v>-3.1898367791027837</v>
      </c>
      <c r="E15" s="22">
        <v>-18.410678883113984</v>
      </c>
      <c r="F15" s="22">
        <v>-19.701823955056152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FTSE</vt:lpstr>
      <vt:lpstr>Bloomberg MSCI Euro</vt:lpstr>
      <vt:lpstr>Bloomberg MSCI US</vt:lpstr>
      <vt:lpstr>Bloomberg MSCI HY</vt:lpstr>
      <vt:lpstr>Summary</vt:lpstr>
      <vt:lpstr>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2024-05-23T16:21:30Z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2023-01-12T18:07:56Z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ef3f3463-7074-431f-bb13-78e71e477e67</vt:lpwstr>
  </property>
  <property fmtid="{D5CDD505-2E9C-101B-9397-08002B2CF9AE}" pid="8" name="MSIP_Label_6ac45191-74e4-40a9-a4c5-ab5c9391e33a_ContentBits">
    <vt:lpwstr>0</vt:lpwstr>
  </property>
</Properties>
</file>