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2. ESG Scoring\Data\"/>
    </mc:Choice>
  </mc:AlternateContent>
  <xr:revisionPtr revIDLastSave="0" documentId="13_ncr:1_{94582BE0-A2BF-4C83-8D76-A36E9BC78C2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vider #1 1Y" sheetId="1" r:id="rId1"/>
    <sheet name="Provider #2 1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G10" i="2"/>
  <c r="F10" i="2"/>
  <c r="E10" i="2"/>
  <c r="D10" i="2"/>
  <c r="C10" i="2"/>
  <c r="B10" i="2"/>
  <c r="I9" i="2"/>
  <c r="H20" i="2" s="1"/>
  <c r="I8" i="2"/>
  <c r="B19" i="2" s="1"/>
  <c r="I7" i="2"/>
  <c r="C18" i="2" s="1"/>
  <c r="I6" i="2"/>
  <c r="D17" i="2" s="1"/>
  <c r="I5" i="2"/>
  <c r="E16" i="2" s="1"/>
  <c r="I4" i="2"/>
  <c r="F15" i="2" s="1"/>
  <c r="I3" i="2"/>
  <c r="G14" i="2" s="1"/>
  <c r="B20" i="2" l="1"/>
  <c r="E20" i="2"/>
  <c r="G20" i="2"/>
  <c r="B17" i="2"/>
  <c r="E17" i="2"/>
  <c r="H17" i="2"/>
  <c r="C16" i="2"/>
  <c r="F16" i="2"/>
  <c r="D15" i="2"/>
  <c r="G15" i="2"/>
  <c r="H14" i="2"/>
  <c r="D18" i="2"/>
  <c r="C19" i="2"/>
  <c r="H15" i="2"/>
  <c r="G16" i="2"/>
  <c r="F17" i="2"/>
  <c r="E18" i="2"/>
  <c r="D19" i="2"/>
  <c r="C20" i="2"/>
  <c r="I10" i="2"/>
  <c r="F11" i="2" s="1"/>
  <c r="B14" i="2"/>
  <c r="H16" i="2"/>
  <c r="G17" i="2"/>
  <c r="F18" i="2"/>
  <c r="E19" i="2"/>
  <c r="D20" i="2"/>
  <c r="C14" i="2"/>
  <c r="B15" i="2"/>
  <c r="G18" i="2"/>
  <c r="F19" i="2"/>
  <c r="D14" i="2"/>
  <c r="C15" i="2"/>
  <c r="B16" i="2"/>
  <c r="H18" i="2"/>
  <c r="G19" i="2"/>
  <c r="F20" i="2"/>
  <c r="E14" i="2"/>
  <c r="H19" i="2"/>
  <c r="F14" i="2"/>
  <c r="E15" i="2"/>
  <c r="D16" i="2"/>
  <c r="C17" i="2"/>
  <c r="B18" i="2"/>
  <c r="E20" i="1"/>
  <c r="H10" i="1"/>
  <c r="G10" i="1"/>
  <c r="F10" i="1"/>
  <c r="E10" i="1"/>
  <c r="D10" i="1"/>
  <c r="C10" i="1"/>
  <c r="B10" i="1"/>
  <c r="I9" i="1"/>
  <c r="D20" i="1" s="1"/>
  <c r="I8" i="1"/>
  <c r="G19" i="1" s="1"/>
  <c r="I7" i="1"/>
  <c r="C18" i="1" s="1"/>
  <c r="I6" i="1"/>
  <c r="G17" i="1" s="1"/>
  <c r="I5" i="1"/>
  <c r="H16" i="1" s="1"/>
  <c r="I4" i="1"/>
  <c r="C15" i="1" s="1"/>
  <c r="I3" i="1"/>
  <c r="I20" i="2" l="1"/>
  <c r="J20" i="2" s="1"/>
  <c r="I19" i="2"/>
  <c r="J19" i="2" s="1"/>
  <c r="I17" i="2"/>
  <c r="J17" i="2" s="1"/>
  <c r="I18" i="2"/>
  <c r="J18" i="2" s="1"/>
  <c r="D21" i="2"/>
  <c r="D22" i="2" s="1"/>
  <c r="E21" i="2"/>
  <c r="E22" i="2" s="1"/>
  <c r="G21" i="2"/>
  <c r="G22" i="2" s="1"/>
  <c r="G11" i="2"/>
  <c r="J4" i="2"/>
  <c r="J7" i="2"/>
  <c r="J3" i="2"/>
  <c r="J8" i="2"/>
  <c r="B11" i="2"/>
  <c r="B21" i="2"/>
  <c r="I14" i="2"/>
  <c r="J14" i="2" s="1"/>
  <c r="I15" i="2"/>
  <c r="J15" i="2" s="1"/>
  <c r="J6" i="2"/>
  <c r="F21" i="2"/>
  <c r="F22" i="2" s="1"/>
  <c r="I16" i="2"/>
  <c r="J16" i="2" s="1"/>
  <c r="C21" i="2"/>
  <c r="C22" i="2" s="1"/>
  <c r="E11" i="2"/>
  <c r="J10" i="2"/>
  <c r="H11" i="2"/>
  <c r="J9" i="2"/>
  <c r="J5" i="2"/>
  <c r="C11" i="2"/>
  <c r="D11" i="2"/>
  <c r="H21" i="2"/>
  <c r="H22" i="2" s="1"/>
  <c r="H19" i="1"/>
  <c r="F20" i="1"/>
  <c r="E16" i="1"/>
  <c r="F16" i="1"/>
  <c r="B17" i="1"/>
  <c r="C17" i="1"/>
  <c r="D17" i="1"/>
  <c r="E17" i="1"/>
  <c r="F17" i="1"/>
  <c r="H17" i="1"/>
  <c r="G18" i="1"/>
  <c r="E15" i="1"/>
  <c r="H18" i="1"/>
  <c r="F15" i="1"/>
  <c r="G20" i="1"/>
  <c r="G15" i="1"/>
  <c r="C14" i="1"/>
  <c r="H15" i="1"/>
  <c r="D19" i="1"/>
  <c r="D14" i="1"/>
  <c r="B16" i="1"/>
  <c r="E19" i="1"/>
  <c r="G14" i="1"/>
  <c r="D15" i="1"/>
  <c r="B19" i="1"/>
  <c r="I10" i="1"/>
  <c r="J8" i="1" s="1"/>
  <c r="B14" i="1"/>
  <c r="C19" i="1"/>
  <c r="H20" i="1"/>
  <c r="E14" i="1"/>
  <c r="C16" i="1"/>
  <c r="F19" i="1"/>
  <c r="F14" i="1"/>
  <c r="D16" i="1"/>
  <c r="B18" i="1"/>
  <c r="H14" i="1"/>
  <c r="D18" i="1"/>
  <c r="B20" i="1"/>
  <c r="B15" i="1"/>
  <c r="G16" i="1"/>
  <c r="E18" i="1"/>
  <c r="C20" i="1"/>
  <c r="F18" i="1"/>
  <c r="K11" i="2" l="1"/>
  <c r="B22" i="2"/>
  <c r="I21" i="2"/>
  <c r="J21" i="2" s="1"/>
  <c r="J7" i="1"/>
  <c r="I17" i="1"/>
  <c r="H11" i="1"/>
  <c r="I15" i="1"/>
  <c r="J15" i="1" s="1"/>
  <c r="G11" i="1"/>
  <c r="F21" i="1"/>
  <c r="F22" i="1" s="1"/>
  <c r="I20" i="1"/>
  <c r="J20" i="1" s="1"/>
  <c r="B11" i="1"/>
  <c r="K11" i="1" s="1"/>
  <c r="B21" i="1"/>
  <c r="B22" i="1" s="1"/>
  <c r="C21" i="1"/>
  <c r="C22" i="1" s="1"/>
  <c r="J3" i="1"/>
  <c r="G21" i="1"/>
  <c r="G22" i="1" s="1"/>
  <c r="E21" i="1"/>
  <c r="E22" i="1" s="1"/>
  <c r="I16" i="1"/>
  <c r="J16" i="1" s="1"/>
  <c r="D21" i="1"/>
  <c r="D22" i="1" s="1"/>
  <c r="H21" i="1"/>
  <c r="H22" i="1" s="1"/>
  <c r="F11" i="1"/>
  <c r="E11" i="1"/>
  <c r="D11" i="1"/>
  <c r="J5" i="1"/>
  <c r="J10" i="1"/>
  <c r="J6" i="1"/>
  <c r="I18" i="1"/>
  <c r="J18" i="1" s="1"/>
  <c r="I19" i="1"/>
  <c r="J19" i="1" s="1"/>
  <c r="I14" i="1"/>
  <c r="J14" i="1" s="1"/>
  <c r="C11" i="1"/>
  <c r="J4" i="1"/>
  <c r="J9" i="1"/>
  <c r="J17" i="1"/>
  <c r="I21" i="1" l="1"/>
  <c r="J21" i="1" s="1"/>
</calcChain>
</file>

<file path=xl/sharedStrings.xml><?xml version="1.0" encoding="utf-8"?>
<sst xmlns="http://schemas.openxmlformats.org/spreadsheetml/2006/main" count="72" uniqueCount="9">
  <si>
    <t>AAA</t>
  </si>
  <si>
    <t>AA</t>
  </si>
  <si>
    <t>A</t>
  </si>
  <si>
    <t>BBB</t>
  </si>
  <si>
    <t>BB</t>
  </si>
  <si>
    <t>B</t>
  </si>
  <si>
    <t>CCC</t>
  </si>
  <si>
    <t>sum</t>
  </si>
  <si>
    <t>frq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</si>
</sst>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0" xfId="1" applyNumberFormat="1" applyFont="1" applyBorder="1"/>
    <xf numFmtId="0" fontId="0" fillId="0" borderId="1" xfId="0" applyBorder="1"/>
    <xf numFmtId="0" fontId="0" fillId="0" borderId="5" xfId="0" applyBorder="1"/>
    <xf numFmtId="10" fontId="0" fillId="0" borderId="3" xfId="1" applyNumberFormat="1" applyFont="1" applyBorder="1"/>
    <xf numFmtId="10" fontId="0" fillId="0" borderId="4" xfId="1" applyNumberFormat="1" applyFont="1" applyBorder="1"/>
    <xf numFmtId="10" fontId="0" fillId="0" borderId="7" xfId="1" applyNumberFormat="1" applyFont="1" applyBorder="1"/>
    <xf numFmtId="0" fontId="0" fillId="0" borderId="7" xfId="0" applyBorder="1"/>
    <xf numFmtId="10" fontId="0" fillId="0" borderId="5" xfId="1" applyNumberFormat="1" applyFont="1" applyBorder="1"/>
    <xf numFmtId="10" fontId="0" fillId="0" borderId="6" xfId="1" applyNumberFormat="1" applyFont="1" applyBorder="1"/>
    <xf numFmtId="10" fontId="0" fillId="0" borderId="0" xfId="1" applyNumberFormat="1" applyFont="1" applyBorder="1"/>
    <xf numFmtId="10" fontId="0" fillId="0" borderId="2" xfId="1" applyNumberFormat="1" applyFont="1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3" xfId="1" applyNumberFormat="1" applyFont="1" applyBorder="1"/>
    <xf numFmtId="2" fontId="0" fillId="0" borderId="4" xfId="1" applyNumberFormat="1" applyFont="1" applyBorder="1"/>
    <xf numFmtId="10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sqref="A1:XFD1048576"/>
    </sheetView>
  </sheetViews>
  <sheetFormatPr baseColWidth="10" defaultColWidth="8.88671875" defaultRowHeight="14.4" x14ac:dyDescent="0.3"/>
  <cols>
    <col min="2" max="2" width="11.109375" bestFit="1" customWidth="1"/>
    <col min="9" max="9" width="12.109375" style="1" bestFit="1" customWidth="1"/>
  </cols>
  <sheetData>
    <row r="1" spans="1:11" ht="15" thickBot="1" x14ac:dyDescent="0.35"/>
    <row r="2" spans="1:11" ht="15" thickBot="1" x14ac:dyDescent="0.35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17" t="s">
        <v>7</v>
      </c>
      <c r="J2" s="7" t="s">
        <v>8</v>
      </c>
    </row>
    <row r="3" spans="1:11" x14ac:dyDescent="0.3">
      <c r="A3" s="4" t="s">
        <v>0</v>
      </c>
      <c r="B3" s="6">
        <v>2076</v>
      </c>
      <c r="C3" s="2">
        <v>152</v>
      </c>
      <c r="D3" s="2">
        <v>23</v>
      </c>
      <c r="E3" s="2">
        <v>11</v>
      </c>
      <c r="F3" s="2">
        <v>4</v>
      </c>
      <c r="G3" s="2">
        <v>0</v>
      </c>
      <c r="H3" s="2">
        <v>0</v>
      </c>
      <c r="I3" s="18">
        <f>SUM(B3:H3)</f>
        <v>2266</v>
      </c>
      <c r="J3" s="9">
        <f>I3/$I$10</f>
        <v>3.6950070117079216E-2</v>
      </c>
    </row>
    <row r="4" spans="1:11" x14ac:dyDescent="0.3">
      <c r="A4" s="4" t="s">
        <v>1</v>
      </c>
      <c r="B4" s="2">
        <v>279</v>
      </c>
      <c r="C4" s="2">
        <v>5563</v>
      </c>
      <c r="D4" s="2">
        <v>820</v>
      </c>
      <c r="E4" s="2">
        <v>61</v>
      </c>
      <c r="F4" s="2">
        <v>21</v>
      </c>
      <c r="G4" s="2">
        <v>6</v>
      </c>
      <c r="H4" s="2">
        <v>0</v>
      </c>
      <c r="I4" s="18">
        <f t="shared" ref="I4:I10" si="0">SUM(B4:H4)</f>
        <v>6750</v>
      </c>
      <c r="J4" s="9">
        <f t="shared" ref="J4:J10" si="1">I4/$I$10</f>
        <v>0.11006750807161726</v>
      </c>
    </row>
    <row r="5" spans="1:11" x14ac:dyDescent="0.3">
      <c r="A5" s="4" t="s">
        <v>2</v>
      </c>
      <c r="B5" s="2">
        <v>19</v>
      </c>
      <c r="C5" s="2">
        <v>1715</v>
      </c>
      <c r="D5" s="2">
        <v>8024</v>
      </c>
      <c r="E5" s="2">
        <v>1172</v>
      </c>
      <c r="F5" s="2">
        <v>88</v>
      </c>
      <c r="G5" s="2">
        <v>16</v>
      </c>
      <c r="H5" s="2">
        <v>4</v>
      </c>
      <c r="I5" s="18">
        <f t="shared" si="0"/>
        <v>11038</v>
      </c>
      <c r="J5" s="9">
        <f t="shared" si="1"/>
        <v>0.17998891171770537</v>
      </c>
    </row>
    <row r="6" spans="1:11" x14ac:dyDescent="0.3">
      <c r="A6" s="4" t="s">
        <v>3</v>
      </c>
      <c r="B6" s="2">
        <v>9</v>
      </c>
      <c r="C6" s="2">
        <v>188</v>
      </c>
      <c r="D6" s="2">
        <v>2821</v>
      </c>
      <c r="E6" s="2">
        <v>10004</v>
      </c>
      <c r="F6" s="2">
        <v>1343</v>
      </c>
      <c r="G6" s="2">
        <v>68</v>
      </c>
      <c r="H6" s="2">
        <v>8</v>
      </c>
      <c r="I6" s="18">
        <f t="shared" si="0"/>
        <v>14441</v>
      </c>
      <c r="J6" s="9">
        <f t="shared" si="1"/>
        <v>0.23547924208329257</v>
      </c>
    </row>
    <row r="7" spans="1:11" x14ac:dyDescent="0.3">
      <c r="A7" s="4" t="s">
        <v>4</v>
      </c>
      <c r="B7" s="2">
        <v>6</v>
      </c>
      <c r="C7" s="2">
        <v>26</v>
      </c>
      <c r="D7" s="2">
        <v>211</v>
      </c>
      <c r="E7" s="2">
        <v>2945</v>
      </c>
      <c r="F7" s="2">
        <v>9227</v>
      </c>
      <c r="G7" s="2">
        <v>1204</v>
      </c>
      <c r="H7" s="2">
        <v>40</v>
      </c>
      <c r="I7" s="18">
        <f t="shared" si="0"/>
        <v>13659</v>
      </c>
      <c r="J7" s="9">
        <f t="shared" si="1"/>
        <v>0.22272771744447706</v>
      </c>
    </row>
    <row r="8" spans="1:11" x14ac:dyDescent="0.3">
      <c r="A8" s="4" t="s">
        <v>5</v>
      </c>
      <c r="B8" s="2">
        <v>3</v>
      </c>
      <c r="C8" s="2">
        <v>5</v>
      </c>
      <c r="D8" s="2">
        <v>27</v>
      </c>
      <c r="E8" s="2">
        <v>160</v>
      </c>
      <c r="F8" s="2">
        <v>2336</v>
      </c>
      <c r="G8" s="2">
        <v>7861</v>
      </c>
      <c r="H8" s="2">
        <v>314</v>
      </c>
      <c r="I8" s="18">
        <f t="shared" si="0"/>
        <v>10706</v>
      </c>
      <c r="J8" s="9">
        <f t="shared" si="1"/>
        <v>0.17457522095033101</v>
      </c>
    </row>
    <row r="9" spans="1:11" ht="15" thickBot="1" x14ac:dyDescent="0.35">
      <c r="A9" s="4" t="s">
        <v>6</v>
      </c>
      <c r="B9" s="3">
        <v>0</v>
      </c>
      <c r="C9" s="3">
        <v>1</v>
      </c>
      <c r="D9" s="3">
        <v>6</v>
      </c>
      <c r="E9" s="3">
        <v>7</v>
      </c>
      <c r="F9" s="3">
        <v>61</v>
      </c>
      <c r="G9" s="3">
        <v>400</v>
      </c>
      <c r="H9" s="3">
        <v>1991</v>
      </c>
      <c r="I9" s="18">
        <f t="shared" si="0"/>
        <v>2466</v>
      </c>
      <c r="J9" s="9">
        <f t="shared" si="1"/>
        <v>4.0211329615497504E-2</v>
      </c>
    </row>
    <row r="10" spans="1:11" ht="15" thickBot="1" x14ac:dyDescent="0.35">
      <c r="A10" s="5" t="s">
        <v>7</v>
      </c>
      <c r="B10" s="3">
        <f>SUM(B3:B9)</f>
        <v>2392</v>
      </c>
      <c r="C10" s="3">
        <f t="shared" ref="C10:H10" si="2">SUM(C3:C9)</f>
        <v>7650</v>
      </c>
      <c r="D10" s="3">
        <f t="shared" si="2"/>
        <v>11932</v>
      </c>
      <c r="E10" s="3">
        <f t="shared" si="2"/>
        <v>14360</v>
      </c>
      <c r="F10" s="3">
        <f t="shared" si="2"/>
        <v>13080</v>
      </c>
      <c r="G10" s="3">
        <f t="shared" si="2"/>
        <v>9555</v>
      </c>
      <c r="H10" s="3">
        <f t="shared" si="2"/>
        <v>2357</v>
      </c>
      <c r="I10" s="19">
        <f t="shared" si="0"/>
        <v>61326</v>
      </c>
      <c r="J10" s="10">
        <f t="shared" si="1"/>
        <v>1</v>
      </c>
    </row>
    <row r="11" spans="1:11" ht="15" thickBot="1" x14ac:dyDescent="0.35">
      <c r="A11" s="12" t="s">
        <v>8</v>
      </c>
      <c r="B11" s="11">
        <f>B10/$I$10</f>
        <v>3.9004663601082741E-2</v>
      </c>
      <c r="C11" s="13">
        <f t="shared" ref="C11:H11" si="3">C10/$I$10</f>
        <v>0.12474317581449956</v>
      </c>
      <c r="D11" s="13">
        <f t="shared" si="3"/>
        <v>0.19456674167563512</v>
      </c>
      <c r="E11" s="13">
        <f t="shared" si="3"/>
        <v>0.23415843198643316</v>
      </c>
      <c r="F11" s="13">
        <f t="shared" si="3"/>
        <v>0.21328637119655611</v>
      </c>
      <c r="G11" s="13">
        <f t="shared" si="3"/>
        <v>0.15580667253693375</v>
      </c>
      <c r="H11" s="14">
        <f t="shared" si="3"/>
        <v>3.8433943188859537E-2</v>
      </c>
      <c r="I11" s="20"/>
      <c r="K11" s="23">
        <f>SUM(B11:H11)</f>
        <v>0.99999999999999989</v>
      </c>
    </row>
    <row r="12" spans="1:11" ht="15" thickBot="1" x14ac:dyDescent="0.35"/>
    <row r="13" spans="1:11" ht="15" thickBot="1" x14ac:dyDescent="0.35">
      <c r="A13" s="7"/>
      <c r="B13" s="8" t="s">
        <v>0</v>
      </c>
      <c r="C13" s="8" t="s">
        <v>1</v>
      </c>
      <c r="D13" s="8" t="s">
        <v>2</v>
      </c>
      <c r="E13" s="8" t="s">
        <v>3</v>
      </c>
      <c r="F13" s="8" t="s">
        <v>4</v>
      </c>
      <c r="G13" s="8" t="s">
        <v>5</v>
      </c>
      <c r="H13" s="8" t="s">
        <v>6</v>
      </c>
      <c r="I13" s="17" t="s">
        <v>7</v>
      </c>
      <c r="J13" s="7" t="s">
        <v>8</v>
      </c>
    </row>
    <row r="14" spans="1:11" x14ac:dyDescent="0.3">
      <c r="A14" s="4" t="s">
        <v>0</v>
      </c>
      <c r="B14" s="15">
        <f>B3/$I3</f>
        <v>0.91615180935569285</v>
      </c>
      <c r="C14" s="15">
        <f t="shared" ref="C14:H14" si="4">C3/$I3</f>
        <v>6.7078552515445714E-2</v>
      </c>
      <c r="D14" s="15">
        <f t="shared" si="4"/>
        <v>1.0150044130626656E-2</v>
      </c>
      <c r="E14" s="15">
        <f t="shared" si="4"/>
        <v>4.8543689320388345E-3</v>
      </c>
      <c r="F14" s="15">
        <f t="shared" si="4"/>
        <v>1.76522506619594E-3</v>
      </c>
      <c r="G14" s="15">
        <f t="shared" si="4"/>
        <v>0</v>
      </c>
      <c r="H14" s="15">
        <f t="shared" si="4"/>
        <v>0</v>
      </c>
      <c r="I14" s="21">
        <f>SUM(B14:H14)</f>
        <v>1</v>
      </c>
      <c r="J14" s="9">
        <f>I14/$I$10</f>
        <v>1.6306297492091446E-5</v>
      </c>
    </row>
    <row r="15" spans="1:11" x14ac:dyDescent="0.3">
      <c r="A15" s="4" t="s">
        <v>1</v>
      </c>
      <c r="B15" s="15">
        <f t="shared" ref="B15:H15" si="5">B4/$I4</f>
        <v>4.1333333333333333E-2</v>
      </c>
      <c r="C15" s="15">
        <f t="shared" si="5"/>
        <v>0.82414814814814819</v>
      </c>
      <c r="D15" s="15">
        <f t="shared" si="5"/>
        <v>0.12148148148148148</v>
      </c>
      <c r="E15" s="15">
        <f t="shared" si="5"/>
        <v>9.0370370370370379E-3</v>
      </c>
      <c r="F15" s="15">
        <f t="shared" si="5"/>
        <v>3.1111111111111109E-3</v>
      </c>
      <c r="G15" s="15">
        <f t="shared" si="5"/>
        <v>8.8888888888888893E-4</v>
      </c>
      <c r="H15" s="15">
        <f t="shared" si="5"/>
        <v>0</v>
      </c>
      <c r="I15" s="21">
        <f t="shared" ref="I15:I21" si="6">SUM(B15:H15)</f>
        <v>1</v>
      </c>
      <c r="J15" s="9">
        <f t="shared" ref="J15:J21" si="7">I15/$I$10</f>
        <v>1.6306297492091446E-5</v>
      </c>
    </row>
    <row r="16" spans="1:11" x14ac:dyDescent="0.3">
      <c r="A16" s="4" t="s">
        <v>2</v>
      </c>
      <c r="B16" s="15">
        <f t="shared" ref="B16:H16" si="8">B5/$I5</f>
        <v>1.7213263272331943E-3</v>
      </c>
      <c r="C16" s="15">
        <f t="shared" si="8"/>
        <v>0.15537235006341729</v>
      </c>
      <c r="D16" s="15">
        <f t="shared" si="8"/>
        <v>0.72694328682732379</v>
      </c>
      <c r="E16" s="15">
        <f t="shared" si="8"/>
        <v>0.10617865555354231</v>
      </c>
      <c r="F16" s="15">
        <f t="shared" si="8"/>
        <v>7.9724587787642683E-3</v>
      </c>
      <c r="G16" s="15">
        <f t="shared" si="8"/>
        <v>1.4495379597753216E-3</v>
      </c>
      <c r="H16" s="15">
        <f t="shared" si="8"/>
        <v>3.623844899438304E-4</v>
      </c>
      <c r="I16" s="21">
        <f t="shared" si="6"/>
        <v>1</v>
      </c>
      <c r="J16" s="9">
        <f t="shared" si="7"/>
        <v>1.6306297492091446E-5</v>
      </c>
    </row>
    <row r="17" spans="1:10" x14ac:dyDescent="0.3">
      <c r="A17" s="4" t="s">
        <v>3</v>
      </c>
      <c r="B17" s="15">
        <f t="shared" ref="B17:H17" si="9">B6/$I6</f>
        <v>6.2322553839761787E-4</v>
      </c>
      <c r="C17" s="15">
        <f t="shared" si="9"/>
        <v>1.3018489024305796E-2</v>
      </c>
      <c r="D17" s="15">
        <f t="shared" si="9"/>
        <v>0.19534658264663113</v>
      </c>
      <c r="E17" s="15">
        <f t="shared" si="9"/>
        <v>0.69274980956997434</v>
      </c>
      <c r="F17" s="15">
        <f t="shared" si="9"/>
        <v>9.2999099785333425E-2</v>
      </c>
      <c r="G17" s="15">
        <f t="shared" si="9"/>
        <v>4.7088151790042245E-3</v>
      </c>
      <c r="H17" s="15">
        <f t="shared" si="9"/>
        <v>5.5397825635343815E-4</v>
      </c>
      <c r="I17" s="21">
        <f t="shared" si="6"/>
        <v>0.99999999999999989</v>
      </c>
      <c r="J17" s="9">
        <f t="shared" si="7"/>
        <v>1.6306297492091443E-5</v>
      </c>
    </row>
    <row r="18" spans="1:10" x14ac:dyDescent="0.3">
      <c r="A18" s="4" t="s">
        <v>4</v>
      </c>
      <c r="B18" s="15">
        <f t="shared" ref="B18:H18" si="10">B7/$I7</f>
        <v>4.392708104546453E-4</v>
      </c>
      <c r="C18" s="15">
        <f t="shared" si="10"/>
        <v>1.903506845303463E-3</v>
      </c>
      <c r="D18" s="15">
        <f t="shared" si="10"/>
        <v>1.5447690167655025E-2</v>
      </c>
      <c r="E18" s="15">
        <f t="shared" si="10"/>
        <v>0.21560875613148839</v>
      </c>
      <c r="F18" s="15">
        <f t="shared" si="10"/>
        <v>0.675525294677502</v>
      </c>
      <c r="G18" s="15">
        <f t="shared" si="10"/>
        <v>8.8147009297898815E-2</v>
      </c>
      <c r="H18" s="15">
        <f t="shared" si="10"/>
        <v>2.9284720696976354E-3</v>
      </c>
      <c r="I18" s="21">
        <f t="shared" si="6"/>
        <v>1</v>
      </c>
      <c r="J18" s="9">
        <f t="shared" si="7"/>
        <v>1.6306297492091446E-5</v>
      </c>
    </row>
    <row r="19" spans="1:10" x14ac:dyDescent="0.3">
      <c r="A19" s="4" t="s">
        <v>5</v>
      </c>
      <c r="B19" s="15">
        <f t="shared" ref="B19:H19" si="11">B8/$I8</f>
        <v>2.8021670091537453E-4</v>
      </c>
      <c r="C19" s="15">
        <f t="shared" si="11"/>
        <v>4.6702783485895759E-4</v>
      </c>
      <c r="D19" s="15">
        <f t="shared" si="11"/>
        <v>2.5219503082383708E-3</v>
      </c>
      <c r="E19" s="15">
        <f t="shared" si="11"/>
        <v>1.4944890715486643E-2</v>
      </c>
      <c r="F19" s="15">
        <f t="shared" si="11"/>
        <v>0.218195404446105</v>
      </c>
      <c r="G19" s="15">
        <f t="shared" si="11"/>
        <v>0.73426116196525315</v>
      </c>
      <c r="H19" s="15">
        <f t="shared" si="11"/>
        <v>2.9329348029142537E-2</v>
      </c>
      <c r="I19" s="21">
        <f t="shared" si="6"/>
        <v>1</v>
      </c>
      <c r="J19" s="9">
        <f t="shared" si="7"/>
        <v>1.6306297492091446E-5</v>
      </c>
    </row>
    <row r="20" spans="1:10" ht="15" thickBot="1" x14ac:dyDescent="0.35">
      <c r="A20" s="4" t="s">
        <v>6</v>
      </c>
      <c r="B20" s="16">
        <f t="shared" ref="B20:H20" si="12">B9/$I9</f>
        <v>0</v>
      </c>
      <c r="C20" s="16">
        <f t="shared" si="12"/>
        <v>4.0551500405515005E-4</v>
      </c>
      <c r="D20" s="16">
        <f t="shared" si="12"/>
        <v>2.4330900243309003E-3</v>
      </c>
      <c r="E20" s="16">
        <f t="shared" si="12"/>
        <v>2.8386050283860501E-3</v>
      </c>
      <c r="F20" s="16">
        <f t="shared" si="12"/>
        <v>2.4736415247364151E-2</v>
      </c>
      <c r="G20" s="16">
        <f t="shared" si="12"/>
        <v>0.16220600162206</v>
      </c>
      <c r="H20" s="16">
        <f t="shared" si="12"/>
        <v>0.80738037307380373</v>
      </c>
      <c r="I20" s="21">
        <f t="shared" si="6"/>
        <v>1</v>
      </c>
      <c r="J20" s="9">
        <f t="shared" si="7"/>
        <v>1.6306297492091446E-5</v>
      </c>
    </row>
    <row r="21" spans="1:10" ht="15" thickBot="1" x14ac:dyDescent="0.35">
      <c r="A21" s="5" t="s">
        <v>7</v>
      </c>
      <c r="B21" s="3">
        <f>SUM(B14:B20)</f>
        <v>0.96054918206602713</v>
      </c>
      <c r="C21" s="3">
        <f t="shared" ref="C21" si="13">SUM(C14:C20)</f>
        <v>1.0623935894355343</v>
      </c>
      <c r="D21" s="3">
        <f t="shared" ref="D21" si="14">SUM(D14:D20)</f>
        <v>1.0743241255862874</v>
      </c>
      <c r="E21" s="3">
        <f t="shared" ref="E21" si="15">SUM(E14:E20)</f>
        <v>1.0462121229679533</v>
      </c>
      <c r="F21" s="3">
        <f t="shared" ref="F21" si="16">SUM(F14:F20)</f>
        <v>1.024305009112376</v>
      </c>
      <c r="G21" s="3">
        <f t="shared" ref="G21" si="17">SUM(G14:G20)</f>
        <v>0.9916614149128804</v>
      </c>
      <c r="H21" s="3">
        <f t="shared" ref="H21" si="18">SUM(H14:H20)</f>
        <v>0.84055455591894113</v>
      </c>
      <c r="I21" s="22">
        <f t="shared" si="6"/>
        <v>6.9999999999999991</v>
      </c>
      <c r="J21" s="10">
        <f t="shared" si="7"/>
        <v>1.141440824446401E-4</v>
      </c>
    </row>
    <row r="22" spans="1:10" ht="15" thickBot="1" x14ac:dyDescent="0.35">
      <c r="A22" s="12" t="s">
        <v>8</v>
      </c>
      <c r="B22" s="11">
        <f>B21/$I$10</f>
        <v>1.5663000718553749E-5</v>
      </c>
      <c r="C22" s="13">
        <f t="shared" ref="C22" si="19">C21/$I$10</f>
        <v>1.7323705923026682E-5</v>
      </c>
      <c r="D22" s="13">
        <f t="shared" ref="D22" si="20">D21/$I$10</f>
        <v>1.7518248794741015E-5</v>
      </c>
      <c r="E22" s="13">
        <f t="shared" ref="E22" si="21">E21/$I$10</f>
        <v>1.7059846116948004E-5</v>
      </c>
      <c r="F22" s="13">
        <f t="shared" ref="F22" si="22">F21/$I$10</f>
        <v>1.6702622201225841E-5</v>
      </c>
      <c r="G22" s="13">
        <f t="shared" ref="G22" si="23">G21/$I$10</f>
        <v>1.6170326042997755E-5</v>
      </c>
      <c r="H22" s="14">
        <f t="shared" ref="H22" si="24">H21/$I$10</f>
        <v>1.3706332647147069E-5</v>
      </c>
      <c r="I22" s="2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2" max="2" width="11.109375" bestFit="1" customWidth="1"/>
    <col min="9" max="9" width="12.109375" style="1" bestFit="1" customWidth="1"/>
  </cols>
  <sheetData>
    <row r="1" spans="1:11" ht="15" thickBot="1" x14ac:dyDescent="0.35"/>
    <row r="2" spans="1:11" ht="15" thickBot="1" x14ac:dyDescent="0.35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17" t="s">
        <v>7</v>
      </c>
      <c r="J2" s="7" t="s">
        <v>8</v>
      </c>
    </row>
    <row r="3" spans="1:11" x14ac:dyDescent="0.3">
      <c r="A3" s="4" t="s">
        <v>0</v>
      </c>
      <c r="B3" s="6">
        <v>2050</v>
      </c>
      <c r="C3" s="2">
        <v>125</v>
      </c>
      <c r="D3" s="2">
        <v>20</v>
      </c>
      <c r="E3" s="2">
        <v>10</v>
      </c>
      <c r="F3" s="2">
        <v>5</v>
      </c>
      <c r="G3" s="2">
        <v>0</v>
      </c>
      <c r="H3" s="2">
        <v>0</v>
      </c>
      <c r="I3" s="18">
        <f>SUM(B3:H3)</f>
        <v>2210</v>
      </c>
      <c r="J3" s="9">
        <f>I3/$I$10</f>
        <v>3.6833333333333336E-2</v>
      </c>
    </row>
    <row r="4" spans="1:11" x14ac:dyDescent="0.3">
      <c r="A4" s="4" t="s">
        <v>1</v>
      </c>
      <c r="B4" s="2">
        <v>280</v>
      </c>
      <c r="C4" s="2">
        <v>5580</v>
      </c>
      <c r="D4" s="2">
        <v>800</v>
      </c>
      <c r="E4" s="2">
        <v>60</v>
      </c>
      <c r="F4" s="2">
        <v>20</v>
      </c>
      <c r="G4" s="2">
        <v>5</v>
      </c>
      <c r="H4" s="2">
        <v>0</v>
      </c>
      <c r="I4" s="18">
        <f t="shared" ref="I4:I10" si="0">SUM(B4:H4)</f>
        <v>6745</v>
      </c>
      <c r="J4" s="9">
        <f t="shared" ref="J4:J10" si="1">I4/$I$10</f>
        <v>0.11241666666666666</v>
      </c>
    </row>
    <row r="5" spans="1:11" x14ac:dyDescent="0.3">
      <c r="A5" s="4" t="s">
        <v>2</v>
      </c>
      <c r="B5" s="2">
        <v>20</v>
      </c>
      <c r="C5" s="2">
        <v>1700</v>
      </c>
      <c r="D5" s="2">
        <v>8020</v>
      </c>
      <c r="E5" s="2">
        <v>1150</v>
      </c>
      <c r="F5" s="2">
        <v>90</v>
      </c>
      <c r="G5" s="2">
        <v>10</v>
      </c>
      <c r="H5" s="2">
        <v>0</v>
      </c>
      <c r="I5" s="18">
        <f t="shared" si="0"/>
        <v>10990</v>
      </c>
      <c r="J5" s="9">
        <f t="shared" si="1"/>
        <v>0.18316666666666667</v>
      </c>
    </row>
    <row r="6" spans="1:11" x14ac:dyDescent="0.3">
      <c r="A6" s="4" t="s">
        <v>3</v>
      </c>
      <c r="B6" s="2">
        <v>10</v>
      </c>
      <c r="C6" s="2">
        <v>190</v>
      </c>
      <c r="D6" s="2">
        <v>2820</v>
      </c>
      <c r="E6" s="2">
        <v>10000</v>
      </c>
      <c r="F6" s="2">
        <v>1300</v>
      </c>
      <c r="G6" s="2">
        <v>60</v>
      </c>
      <c r="H6" s="2">
        <v>10</v>
      </c>
      <c r="I6" s="18">
        <f t="shared" si="0"/>
        <v>14390</v>
      </c>
      <c r="J6" s="9">
        <f t="shared" si="1"/>
        <v>0.23983333333333334</v>
      </c>
    </row>
    <row r="7" spans="1:11" x14ac:dyDescent="0.3">
      <c r="A7" s="4" t="s">
        <v>4</v>
      </c>
      <c r="B7" s="2">
        <v>5</v>
      </c>
      <c r="C7" s="2">
        <v>25</v>
      </c>
      <c r="D7" s="2">
        <v>200</v>
      </c>
      <c r="E7" s="2">
        <v>2500</v>
      </c>
      <c r="F7" s="2">
        <v>9150</v>
      </c>
      <c r="G7" s="2">
        <v>1000</v>
      </c>
      <c r="H7" s="2">
        <v>30</v>
      </c>
      <c r="I7" s="18">
        <f t="shared" si="0"/>
        <v>12910</v>
      </c>
      <c r="J7" s="9">
        <f t="shared" si="1"/>
        <v>0.21516666666666667</v>
      </c>
    </row>
    <row r="8" spans="1:11" x14ac:dyDescent="0.3">
      <c r="A8" s="4" t="s">
        <v>5</v>
      </c>
      <c r="B8" s="2">
        <v>0</v>
      </c>
      <c r="C8" s="2">
        <v>5</v>
      </c>
      <c r="D8" s="2">
        <v>25</v>
      </c>
      <c r="E8" s="2">
        <v>150</v>
      </c>
      <c r="F8" s="2">
        <v>2260</v>
      </c>
      <c r="G8" s="2">
        <v>7800</v>
      </c>
      <c r="H8" s="2">
        <v>250</v>
      </c>
      <c r="I8" s="18">
        <f t="shared" si="0"/>
        <v>10490</v>
      </c>
      <c r="J8" s="9">
        <f t="shared" si="1"/>
        <v>0.17483333333333334</v>
      </c>
    </row>
    <row r="9" spans="1:11" ht="15" thickBot="1" x14ac:dyDescent="0.35">
      <c r="A9" s="4" t="s">
        <v>6</v>
      </c>
      <c r="B9" s="3">
        <v>0</v>
      </c>
      <c r="C9" s="3">
        <v>0</v>
      </c>
      <c r="D9" s="3">
        <v>5</v>
      </c>
      <c r="E9" s="3">
        <v>10</v>
      </c>
      <c r="F9" s="3">
        <v>50</v>
      </c>
      <c r="G9" s="3">
        <v>300</v>
      </c>
      <c r="H9" s="3">
        <v>1900</v>
      </c>
      <c r="I9" s="18">
        <f t="shared" si="0"/>
        <v>2265</v>
      </c>
      <c r="J9" s="9">
        <f t="shared" si="1"/>
        <v>3.7749999999999999E-2</v>
      </c>
    </row>
    <row r="10" spans="1:11" ht="15" thickBot="1" x14ac:dyDescent="0.35">
      <c r="A10" s="5" t="s">
        <v>7</v>
      </c>
      <c r="B10" s="3">
        <f>SUM(B3:B9)</f>
        <v>2365</v>
      </c>
      <c r="C10" s="3">
        <f t="shared" ref="C10:H10" si="2">SUM(C3:C9)</f>
        <v>7625</v>
      </c>
      <c r="D10" s="3">
        <f t="shared" si="2"/>
        <v>11890</v>
      </c>
      <c r="E10" s="3">
        <f t="shared" si="2"/>
        <v>13880</v>
      </c>
      <c r="F10" s="3">
        <f t="shared" si="2"/>
        <v>12875</v>
      </c>
      <c r="G10" s="3">
        <f t="shared" si="2"/>
        <v>9175</v>
      </c>
      <c r="H10" s="3">
        <f t="shared" si="2"/>
        <v>2190</v>
      </c>
      <c r="I10" s="19">
        <f t="shared" si="0"/>
        <v>60000</v>
      </c>
      <c r="J10" s="10">
        <f t="shared" si="1"/>
        <v>1</v>
      </c>
    </row>
    <row r="11" spans="1:11" ht="15" thickBot="1" x14ac:dyDescent="0.35">
      <c r="A11" s="12" t="s">
        <v>8</v>
      </c>
      <c r="B11" s="11">
        <f>B10/$I$10</f>
        <v>3.9416666666666669E-2</v>
      </c>
      <c r="C11" s="13">
        <f t="shared" ref="C11:H11" si="3">C10/$I$10</f>
        <v>0.12708333333333333</v>
      </c>
      <c r="D11" s="13">
        <f t="shared" si="3"/>
        <v>0.19816666666666666</v>
      </c>
      <c r="E11" s="13">
        <f t="shared" si="3"/>
        <v>0.23133333333333334</v>
      </c>
      <c r="F11" s="13">
        <f t="shared" si="3"/>
        <v>0.21458333333333332</v>
      </c>
      <c r="G11" s="13">
        <f t="shared" si="3"/>
        <v>0.15291666666666667</v>
      </c>
      <c r="H11" s="14">
        <f t="shared" si="3"/>
        <v>3.6499999999999998E-2</v>
      </c>
      <c r="I11" s="20"/>
      <c r="K11" s="23">
        <f>SUM(B11:H11)</f>
        <v>1</v>
      </c>
    </row>
    <row r="12" spans="1:11" ht="15" thickBot="1" x14ac:dyDescent="0.35"/>
    <row r="13" spans="1:11" ht="15" thickBot="1" x14ac:dyDescent="0.35">
      <c r="A13" s="7"/>
      <c r="B13" s="8" t="s">
        <v>0</v>
      </c>
      <c r="C13" s="8" t="s">
        <v>1</v>
      </c>
      <c r="D13" s="8" t="s">
        <v>2</v>
      </c>
      <c r="E13" s="8" t="s">
        <v>3</v>
      </c>
      <c r="F13" s="8" t="s">
        <v>4</v>
      </c>
      <c r="G13" s="8" t="s">
        <v>5</v>
      </c>
      <c r="H13" s="8" t="s">
        <v>6</v>
      </c>
      <c r="I13" s="17" t="s">
        <v>7</v>
      </c>
      <c r="J13" s="7" t="s">
        <v>8</v>
      </c>
    </row>
    <row r="14" spans="1:11" x14ac:dyDescent="0.3">
      <c r="A14" s="4" t="s">
        <v>0</v>
      </c>
      <c r="B14" s="15">
        <f>B3/$I3</f>
        <v>0.92760180995475117</v>
      </c>
      <c r="C14" s="15">
        <f t="shared" ref="C14:H14" si="4">C3/$I3</f>
        <v>5.6561085972850679E-2</v>
      </c>
      <c r="D14" s="15">
        <f t="shared" si="4"/>
        <v>9.0497737556561094E-3</v>
      </c>
      <c r="E14" s="15">
        <f t="shared" si="4"/>
        <v>4.5248868778280547E-3</v>
      </c>
      <c r="F14" s="15">
        <f t="shared" si="4"/>
        <v>2.2624434389140274E-3</v>
      </c>
      <c r="G14" s="15">
        <f t="shared" si="4"/>
        <v>0</v>
      </c>
      <c r="H14" s="15">
        <f t="shared" si="4"/>
        <v>0</v>
      </c>
      <c r="I14" s="21">
        <f>SUM(B14:H14)</f>
        <v>1</v>
      </c>
      <c r="J14" s="9">
        <f>I14/$I$10</f>
        <v>1.6666666666666667E-5</v>
      </c>
    </row>
    <row r="15" spans="1:11" x14ac:dyDescent="0.3">
      <c r="A15" s="4" t="s">
        <v>1</v>
      </c>
      <c r="B15" s="15">
        <f t="shared" ref="B15:H20" si="5">B4/$I4</f>
        <v>4.1512231282431429E-2</v>
      </c>
      <c r="C15" s="15">
        <f t="shared" si="5"/>
        <v>0.8272794662713121</v>
      </c>
      <c r="D15" s="15">
        <f t="shared" si="5"/>
        <v>0.11860637509266123</v>
      </c>
      <c r="E15" s="15">
        <f t="shared" si="5"/>
        <v>8.8954781319495919E-3</v>
      </c>
      <c r="F15" s="15">
        <f t="shared" si="5"/>
        <v>2.9651593773165306E-3</v>
      </c>
      <c r="G15" s="15">
        <f t="shared" si="5"/>
        <v>7.4128984432913266E-4</v>
      </c>
      <c r="H15" s="15">
        <f t="shared" si="5"/>
        <v>0</v>
      </c>
      <c r="I15" s="21">
        <f t="shared" ref="I15:I21" si="6">SUM(B15:H15)</f>
        <v>1</v>
      </c>
      <c r="J15" s="9">
        <f t="shared" ref="J15:J21" si="7">I15/$I$10</f>
        <v>1.6666666666666667E-5</v>
      </c>
    </row>
    <row r="16" spans="1:11" x14ac:dyDescent="0.3">
      <c r="A16" s="4" t="s">
        <v>2</v>
      </c>
      <c r="B16" s="15">
        <f t="shared" si="5"/>
        <v>1.8198362147406734E-3</v>
      </c>
      <c r="C16" s="15">
        <f t="shared" si="5"/>
        <v>0.15468607825295724</v>
      </c>
      <c r="D16" s="15">
        <f t="shared" si="5"/>
        <v>0.72975432211100999</v>
      </c>
      <c r="E16" s="15">
        <f t="shared" si="5"/>
        <v>0.10464058234758872</v>
      </c>
      <c r="F16" s="15">
        <f t="shared" si="5"/>
        <v>8.1892629663330302E-3</v>
      </c>
      <c r="G16" s="15">
        <f t="shared" si="5"/>
        <v>9.099181073703367E-4</v>
      </c>
      <c r="H16" s="15">
        <f t="shared" si="5"/>
        <v>0</v>
      </c>
      <c r="I16" s="21">
        <f t="shared" si="6"/>
        <v>1</v>
      </c>
      <c r="J16" s="9">
        <f t="shared" si="7"/>
        <v>1.6666666666666667E-5</v>
      </c>
    </row>
    <row r="17" spans="1:10" x14ac:dyDescent="0.3">
      <c r="A17" s="4" t="s">
        <v>3</v>
      </c>
      <c r="B17" s="15">
        <f t="shared" si="5"/>
        <v>6.9492703266157052E-4</v>
      </c>
      <c r="C17" s="15">
        <f t="shared" si="5"/>
        <v>1.320361362056984E-2</v>
      </c>
      <c r="D17" s="15">
        <f t="shared" si="5"/>
        <v>0.1959694232105629</v>
      </c>
      <c r="E17" s="15">
        <f t="shared" si="5"/>
        <v>0.69492703266157052</v>
      </c>
      <c r="F17" s="15">
        <f t="shared" si="5"/>
        <v>9.0340514246004172E-2</v>
      </c>
      <c r="G17" s="15">
        <f t="shared" si="5"/>
        <v>4.1695621959694229E-3</v>
      </c>
      <c r="H17" s="15">
        <f t="shared" si="5"/>
        <v>6.9492703266157052E-4</v>
      </c>
      <c r="I17" s="21">
        <f t="shared" si="6"/>
        <v>1</v>
      </c>
      <c r="J17" s="9">
        <f t="shared" si="7"/>
        <v>1.6666666666666667E-5</v>
      </c>
    </row>
    <row r="18" spans="1:10" x14ac:dyDescent="0.3">
      <c r="A18" s="4" t="s">
        <v>4</v>
      </c>
      <c r="B18" s="15">
        <f t="shared" si="5"/>
        <v>3.8729666924864449E-4</v>
      </c>
      <c r="C18" s="15">
        <f t="shared" si="5"/>
        <v>1.9364833462432224E-3</v>
      </c>
      <c r="D18" s="15">
        <f t="shared" si="5"/>
        <v>1.5491866769945779E-2</v>
      </c>
      <c r="E18" s="15">
        <f t="shared" si="5"/>
        <v>0.19364833462432224</v>
      </c>
      <c r="F18" s="15">
        <f t="shared" si="5"/>
        <v>0.70875290472501939</v>
      </c>
      <c r="G18" s="15">
        <f t="shared" si="5"/>
        <v>7.745933384972889E-2</v>
      </c>
      <c r="H18" s="15">
        <f t="shared" si="5"/>
        <v>2.3237800154918666E-3</v>
      </c>
      <c r="I18" s="21">
        <f t="shared" si="6"/>
        <v>1</v>
      </c>
      <c r="J18" s="9">
        <f t="shared" si="7"/>
        <v>1.6666666666666667E-5</v>
      </c>
    </row>
    <row r="19" spans="1:10" x14ac:dyDescent="0.3">
      <c r="A19" s="4" t="s">
        <v>5</v>
      </c>
      <c r="B19" s="15">
        <f t="shared" si="5"/>
        <v>0</v>
      </c>
      <c r="C19" s="15">
        <f t="shared" si="5"/>
        <v>4.7664442326024784E-4</v>
      </c>
      <c r="D19" s="15">
        <f t="shared" si="5"/>
        <v>2.3832221163012394E-3</v>
      </c>
      <c r="E19" s="15">
        <f t="shared" si="5"/>
        <v>1.4299332697807437E-2</v>
      </c>
      <c r="F19" s="15">
        <f t="shared" si="5"/>
        <v>0.21544327931363202</v>
      </c>
      <c r="G19" s="15">
        <f t="shared" si="5"/>
        <v>0.74356530028598666</v>
      </c>
      <c r="H19" s="15">
        <f t="shared" si="5"/>
        <v>2.3832221163012392E-2</v>
      </c>
      <c r="I19" s="21">
        <f t="shared" si="6"/>
        <v>1</v>
      </c>
      <c r="J19" s="9">
        <f t="shared" si="7"/>
        <v>1.6666666666666667E-5</v>
      </c>
    </row>
    <row r="20" spans="1:10" ht="15" thickBot="1" x14ac:dyDescent="0.35">
      <c r="A20" s="4" t="s">
        <v>6</v>
      </c>
      <c r="B20" s="16">
        <f t="shared" si="5"/>
        <v>0</v>
      </c>
      <c r="C20" s="16">
        <f t="shared" si="5"/>
        <v>0</v>
      </c>
      <c r="D20" s="16">
        <f t="shared" si="5"/>
        <v>2.2075055187637969E-3</v>
      </c>
      <c r="E20" s="16">
        <f t="shared" si="5"/>
        <v>4.4150110375275938E-3</v>
      </c>
      <c r="F20" s="16">
        <f t="shared" si="5"/>
        <v>2.2075055187637971E-2</v>
      </c>
      <c r="G20" s="16">
        <f t="shared" si="5"/>
        <v>0.13245033112582782</v>
      </c>
      <c r="H20" s="16">
        <f t="shared" si="5"/>
        <v>0.83885209713024278</v>
      </c>
      <c r="I20" s="21">
        <f t="shared" si="6"/>
        <v>1</v>
      </c>
      <c r="J20" s="9">
        <f t="shared" si="7"/>
        <v>1.6666666666666667E-5</v>
      </c>
    </row>
    <row r="21" spans="1:10" ht="15" thickBot="1" x14ac:dyDescent="0.35">
      <c r="A21" s="5" t="s">
        <v>7</v>
      </c>
      <c r="B21" s="3">
        <f>SUM(B14:B20)</f>
        <v>0.97201610115383352</v>
      </c>
      <c r="C21" s="3">
        <f t="shared" ref="C21:H21" si="8">SUM(C14:C20)</f>
        <v>1.0541433718871933</v>
      </c>
      <c r="D21" s="3">
        <f t="shared" si="8"/>
        <v>1.0734624885749009</v>
      </c>
      <c r="E21" s="3">
        <f t="shared" si="8"/>
        <v>1.0253506583785941</v>
      </c>
      <c r="F21" s="3">
        <f t="shared" si="8"/>
        <v>1.0500286192548569</v>
      </c>
      <c r="G21" s="3">
        <f t="shared" si="8"/>
        <v>0.95929573540921231</v>
      </c>
      <c r="H21" s="3">
        <f t="shared" si="8"/>
        <v>0.86570302534140864</v>
      </c>
      <c r="I21" s="22">
        <f t="shared" si="6"/>
        <v>6.9999999999999991</v>
      </c>
      <c r="J21" s="10">
        <f t="shared" si="7"/>
        <v>1.1666666666666665E-4</v>
      </c>
    </row>
    <row r="22" spans="1:10" ht="15" thickBot="1" x14ac:dyDescent="0.35">
      <c r="A22" s="12" t="s">
        <v>8</v>
      </c>
      <c r="B22" s="11">
        <f>B21/$I$10</f>
        <v>1.6200268352563892E-5</v>
      </c>
      <c r="C22" s="13">
        <f t="shared" ref="C22:H22" si="9">C21/$I$10</f>
        <v>1.7569056198119889E-5</v>
      </c>
      <c r="D22" s="13">
        <f t="shared" si="9"/>
        <v>1.7891041476248348E-5</v>
      </c>
      <c r="E22" s="13">
        <f t="shared" si="9"/>
        <v>1.7089177639643235E-5</v>
      </c>
      <c r="F22" s="13">
        <f t="shared" si="9"/>
        <v>1.7500476987580949E-5</v>
      </c>
      <c r="G22" s="13">
        <f t="shared" si="9"/>
        <v>1.5988262256820207E-5</v>
      </c>
      <c r="H22" s="14">
        <f t="shared" si="9"/>
        <v>1.4428383755690143E-5</v>
      </c>
      <c r="I22" s="2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Provider #1 1Y</vt:lpstr>
      <vt:lpstr>Provider #2 1Y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Barahhou Ines (LYXOR.FRA)</dc:creator>
  <cp:lastModifiedBy>Thierry Roncalli</cp:lastModifiedBy>
  <dcterms:created xsi:type="dcterms:W3CDTF">2022-11-22T16:57:26Z</dcterms:created>
  <dcterms:modified xsi:type="dcterms:W3CDTF">2022-12-15T19:18:50Z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2022-11-22T16:57:27Z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b65b88b1-fd76-4224-8f3d-caaf02abe43c</vt:lpwstr>
  </property>
  <property fmtid="{D5CDD505-2E9C-101B-9397-08002B2CF9AE}" pid="8" name="MSIP_Label_6ac45191-74e4-40a9-a4c5-ab5c9391e33a_ContentBits">
    <vt:lpwstr>0</vt:lpwstr>
  </property>
</Properties>
</file>