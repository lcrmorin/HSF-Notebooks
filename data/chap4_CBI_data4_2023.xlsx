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C:\Thierry\Books\Sustainable_Finance\Matlab\4. ESG Products\Data\"/>
    </mc:Choice>
  </mc:AlternateContent>
  <xr:revisionPtr revIDLastSave="0" documentId="13_ncr:1_{6DBE2121-2AFA-4F7D-98D4-0EFAC04578F3}" xr6:coauthVersionLast="47" xr6:coauthVersionMax="47" xr10:uidLastSave="{00000000-0000-0000-0000-000000000000}"/>
  <bookViews>
    <workbookView xWindow="-108" yWindow="-108" windowWidth="23256" windowHeight="12576" activeTab="2" xr2:uid="{00000000-000D-0000-FFFF-FFFF00000000}"/>
  </bookViews>
  <sheets>
    <sheet name="Region" sheetId="1" r:id="rId1"/>
    <sheet name="Market" sheetId="2" r:id="rId2"/>
    <sheet name="Type" sheetId="3" r:id="rId3"/>
    <sheet name="Deal Size" sheetId="5" r:id="rId4"/>
    <sheet name="Deal Count" sheetId="6" r:id="rId5"/>
    <sheet name="Issuer Count" sheetId="7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6" i="7" l="1"/>
  <c r="J6" i="7"/>
  <c r="I6" i="7"/>
  <c r="H6" i="7"/>
  <c r="G6" i="7"/>
  <c r="F6" i="7"/>
  <c r="E6" i="7"/>
  <c r="D6" i="7"/>
  <c r="C6" i="7"/>
  <c r="B6" i="7"/>
  <c r="K5" i="6"/>
  <c r="J5" i="6"/>
  <c r="I5" i="6"/>
  <c r="H5" i="6"/>
  <c r="G5" i="6"/>
  <c r="F5" i="6"/>
  <c r="E5" i="6"/>
  <c r="D5" i="6"/>
  <c r="C5" i="6"/>
  <c r="B5" i="6"/>
  <c r="K12" i="3"/>
  <c r="J12" i="3"/>
  <c r="I12" i="3"/>
  <c r="H12" i="3"/>
  <c r="G12" i="3"/>
  <c r="F12" i="3"/>
  <c r="E12" i="3"/>
  <c r="D12" i="3"/>
  <c r="C12" i="3"/>
  <c r="B12" i="3"/>
  <c r="K11" i="3"/>
  <c r="J11" i="3"/>
  <c r="I11" i="3"/>
  <c r="H11" i="3"/>
  <c r="G11" i="3"/>
  <c r="F11" i="3"/>
  <c r="E11" i="3"/>
  <c r="D11" i="3"/>
  <c r="C11" i="3"/>
  <c r="B11" i="3"/>
  <c r="K10" i="3"/>
  <c r="J10" i="3"/>
  <c r="I10" i="3"/>
  <c r="H10" i="3"/>
  <c r="G10" i="3"/>
  <c r="F10" i="3"/>
  <c r="E10" i="3"/>
  <c r="D10" i="3"/>
  <c r="C10" i="3"/>
  <c r="B10" i="3"/>
  <c r="K9" i="3"/>
  <c r="J9" i="3"/>
  <c r="I9" i="3"/>
  <c r="H9" i="3"/>
  <c r="G9" i="3"/>
  <c r="F9" i="3"/>
  <c r="E9" i="3"/>
  <c r="D9" i="3"/>
  <c r="C9" i="3"/>
  <c r="B9" i="3"/>
</calcChain>
</file>

<file path=xl/sharedStrings.xml><?xml version="1.0" encoding="utf-8"?>
<sst xmlns="http://schemas.openxmlformats.org/spreadsheetml/2006/main" count="39" uniqueCount="30">
  <si>
    <t>Region</t>
  </si>
  <si>
    <t>Supranational</t>
  </si>
  <si>
    <t>Europe</t>
  </si>
  <si>
    <t>Asia-Pacific</t>
  </si>
  <si>
    <t>Latin America</t>
  </si>
  <si>
    <t>North America</t>
  </si>
  <si>
    <t>Africa</t>
  </si>
  <si>
    <t>Market</t>
  </si>
  <si>
    <t>Developed</t>
  </si>
  <si>
    <t>Emerging</t>
  </si>
  <si>
    <t>Issuer Type</t>
  </si>
  <si>
    <t>Deal Size</t>
  </si>
  <si>
    <t>100m-500m</t>
  </si>
  <si>
    <t>500m-1b</t>
  </si>
  <si>
    <t>0-100m</t>
  </si>
  <si>
    <t>1b+</t>
  </si>
  <si>
    <t>Financials</t>
  </si>
  <si>
    <t>Gov/sov</t>
  </si>
  <si>
    <t>Corporates</t>
  </si>
  <si>
    <t>Development Bank</t>
  </si>
  <si>
    <t>Government-Backed Entity</t>
  </si>
  <si>
    <t>Local Government</t>
  </si>
  <si>
    <t>Sovereign</t>
  </si>
  <si>
    <t>Other</t>
  </si>
  <si>
    <t>DM</t>
  </si>
  <si>
    <t>EM</t>
  </si>
  <si>
    <t>Total</t>
  </si>
  <si>
    <t>OTHER</t>
  </si>
  <si>
    <t>Deal count</t>
  </si>
  <si>
    <t>Issuer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</si>
</sst>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33" borderId="0" xfId="0" applyFill="1"/>
    <xf numFmtId="0" fontId="0" fillId="33" borderId="10" xfId="0" applyFill="1" applyBorder="1"/>
    <xf numFmtId="0" fontId="0" fillId="33" borderId="11" xfId="0" applyFill="1" applyBorder="1"/>
    <xf numFmtId="0" fontId="0" fillId="33" borderId="12" xfId="0" applyFill="1" applyBorder="1"/>
    <xf numFmtId="0" fontId="0" fillId="33" borderId="13" xfId="0" applyFill="1" applyBorder="1"/>
    <xf numFmtId="0" fontId="0" fillId="33" borderId="0" xfId="0" applyFill="1" applyBorder="1"/>
    <xf numFmtId="0" fontId="0" fillId="33" borderId="14" xfId="0" applyFill="1" applyBorder="1"/>
    <xf numFmtId="0" fontId="0" fillId="33" borderId="15" xfId="0" applyFill="1" applyBorder="1"/>
    <xf numFmtId="0" fontId="0" fillId="33" borderId="16" xfId="0" applyFill="1" applyBorder="1"/>
    <xf numFmtId="0" fontId="0" fillId="33" borderId="17" xfId="0" applyFill="1" applyBorder="1"/>
    <xf numFmtId="0" fontId="0" fillId="33" borderId="18" xfId="0" applyFill="1" applyBorder="1"/>
    <xf numFmtId="0" fontId="0" fillId="33" borderId="19" xfId="0" applyFill="1" applyBorder="1"/>
    <xf numFmtId="0" fontId="0" fillId="33" borderId="20" xfId="0" applyFill="1" applyBorder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"/>
  <sheetViews>
    <sheetView workbookViewId="0">
      <selection activeCell="F21" sqref="F21"/>
    </sheetView>
  </sheetViews>
  <sheetFormatPr baseColWidth="10" defaultColWidth="8.88671875" defaultRowHeight="14.4" x14ac:dyDescent="0.3"/>
  <cols>
    <col min="1" max="1" width="18.77734375" style="1" customWidth="1"/>
    <col min="2" max="16384" width="8.88671875" style="1"/>
  </cols>
  <sheetData>
    <row r="1" spans="1:11" ht="15" thickBot="1" x14ac:dyDescent="0.35">
      <c r="A1" s="11" t="s">
        <v>0</v>
      </c>
      <c r="B1" s="11">
        <v>2014</v>
      </c>
      <c r="C1" s="12">
        <v>2015</v>
      </c>
      <c r="D1" s="12">
        <v>2016</v>
      </c>
      <c r="E1" s="12">
        <v>2017</v>
      </c>
      <c r="F1" s="12">
        <v>2018</v>
      </c>
      <c r="G1" s="12">
        <v>2019</v>
      </c>
      <c r="H1" s="12">
        <v>2020</v>
      </c>
      <c r="I1" s="12">
        <v>2021</v>
      </c>
      <c r="J1" s="12">
        <v>2022</v>
      </c>
      <c r="K1" s="13">
        <v>2023</v>
      </c>
    </row>
    <row r="2" spans="1:11" x14ac:dyDescent="0.3">
      <c r="A2" s="5" t="s">
        <v>6</v>
      </c>
      <c r="B2" s="5"/>
      <c r="C2" s="6"/>
      <c r="D2" s="6">
        <v>0.1</v>
      </c>
      <c r="E2" s="6">
        <v>0.8</v>
      </c>
      <c r="F2" s="6">
        <v>1.5</v>
      </c>
      <c r="G2" s="6">
        <v>0.3</v>
      </c>
      <c r="H2" s="6">
        <v>3.3</v>
      </c>
      <c r="I2" s="6">
        <v>0.2</v>
      </c>
      <c r="J2" s="6">
        <v>1.9</v>
      </c>
      <c r="K2" s="7">
        <v>0.4</v>
      </c>
    </row>
    <row r="3" spans="1:11" x14ac:dyDescent="0.3">
      <c r="A3" s="5" t="s">
        <v>3</v>
      </c>
      <c r="B3" s="5"/>
      <c r="C3" s="6"/>
      <c r="D3" s="6">
        <v>0.3</v>
      </c>
      <c r="E3" s="6">
        <v>1</v>
      </c>
      <c r="F3" s="6">
        <v>3.4</v>
      </c>
      <c r="G3" s="6">
        <v>8.5</v>
      </c>
      <c r="H3" s="6">
        <v>102.7</v>
      </c>
      <c r="I3" s="6">
        <v>40.200000000000003</v>
      </c>
      <c r="J3" s="6">
        <v>53.9</v>
      </c>
      <c r="K3" s="7">
        <v>123.5</v>
      </c>
    </row>
    <row r="4" spans="1:11" x14ac:dyDescent="0.3">
      <c r="A4" s="5" t="s">
        <v>2</v>
      </c>
      <c r="B4" s="5"/>
      <c r="C4" s="6">
        <v>3.4</v>
      </c>
      <c r="D4" s="6">
        <v>1.8</v>
      </c>
      <c r="E4" s="6">
        <v>6.3</v>
      </c>
      <c r="F4" s="6">
        <v>7.8</v>
      </c>
      <c r="G4" s="6">
        <v>9.9</v>
      </c>
      <c r="H4" s="6">
        <v>68.900000000000006</v>
      </c>
      <c r="I4" s="6">
        <v>90.7</v>
      </c>
      <c r="J4" s="6">
        <v>65.5</v>
      </c>
      <c r="K4" s="7">
        <v>58.2</v>
      </c>
    </row>
    <row r="5" spans="1:11" x14ac:dyDescent="0.3">
      <c r="A5" s="5" t="s">
        <v>4</v>
      </c>
      <c r="B5" s="5">
        <v>0.5</v>
      </c>
      <c r="C5" s="6"/>
      <c r="D5" s="6">
        <v>0.2</v>
      </c>
      <c r="E5" s="6">
        <v>0.2</v>
      </c>
      <c r="F5" s="6">
        <v>0.4</v>
      </c>
      <c r="G5" s="6">
        <v>1.9</v>
      </c>
      <c r="H5" s="6">
        <v>5</v>
      </c>
      <c r="I5" s="6">
        <v>21</v>
      </c>
      <c r="J5" s="6">
        <v>5.6</v>
      </c>
      <c r="K5" s="7">
        <v>10.6</v>
      </c>
    </row>
    <row r="6" spans="1:11" x14ac:dyDescent="0.3">
      <c r="A6" s="5" t="s">
        <v>5</v>
      </c>
      <c r="B6" s="5"/>
      <c r="C6" s="6"/>
      <c r="D6" s="6"/>
      <c r="E6" s="6">
        <v>0.1</v>
      </c>
      <c r="F6" s="6">
        <v>1.8</v>
      </c>
      <c r="G6" s="6">
        <v>1.2</v>
      </c>
      <c r="H6" s="6">
        <v>10.5</v>
      </c>
      <c r="I6" s="6">
        <v>24.5</v>
      </c>
      <c r="J6" s="6">
        <v>52.8</v>
      </c>
      <c r="K6" s="7">
        <v>21.4</v>
      </c>
    </row>
    <row r="7" spans="1:11" ht="15" thickBot="1" x14ac:dyDescent="0.35">
      <c r="A7" s="8" t="s">
        <v>1</v>
      </c>
      <c r="B7" s="8">
        <v>0.6</v>
      </c>
      <c r="C7" s="9">
        <v>0.2</v>
      </c>
      <c r="D7" s="9">
        <v>0.5</v>
      </c>
      <c r="E7" s="9">
        <v>0.9</v>
      </c>
      <c r="F7" s="9">
        <v>0.3</v>
      </c>
      <c r="G7" s="9">
        <v>0.1</v>
      </c>
      <c r="H7" s="9">
        <v>61.4</v>
      </c>
      <c r="I7" s="9">
        <v>58</v>
      </c>
      <c r="J7" s="9">
        <v>10.199999999999999</v>
      </c>
      <c r="K7" s="10">
        <v>2.2000000000000002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4"/>
  <sheetViews>
    <sheetView workbookViewId="0">
      <selection activeCell="E11" sqref="E11"/>
    </sheetView>
  </sheetViews>
  <sheetFormatPr baseColWidth="10" defaultColWidth="8.88671875" defaultRowHeight="14.4" x14ac:dyDescent="0.3"/>
  <cols>
    <col min="1" max="1" width="12.44140625" style="1" bestFit="1" customWidth="1"/>
    <col min="2" max="16384" width="8.88671875" style="1"/>
  </cols>
  <sheetData>
    <row r="1" spans="1:11" ht="15" thickBot="1" x14ac:dyDescent="0.35">
      <c r="A1" s="11" t="s">
        <v>7</v>
      </c>
      <c r="B1" s="11">
        <v>2014</v>
      </c>
      <c r="C1" s="12">
        <v>2015</v>
      </c>
      <c r="D1" s="12">
        <v>2016</v>
      </c>
      <c r="E1" s="12">
        <v>2017</v>
      </c>
      <c r="F1" s="12">
        <v>2018</v>
      </c>
      <c r="G1" s="12">
        <v>2019</v>
      </c>
      <c r="H1" s="12">
        <v>2020</v>
      </c>
      <c r="I1" s="12">
        <v>2021</v>
      </c>
      <c r="J1" s="12">
        <v>2022</v>
      </c>
      <c r="K1" s="13">
        <v>2023</v>
      </c>
    </row>
    <row r="2" spans="1:11" x14ac:dyDescent="0.3">
      <c r="A2" s="5" t="s">
        <v>8</v>
      </c>
      <c r="B2" s="5"/>
      <c r="C2" s="6">
        <v>3.4</v>
      </c>
      <c r="D2" s="6">
        <v>2.1</v>
      </c>
      <c r="E2" s="6">
        <v>6.8</v>
      </c>
      <c r="F2" s="6">
        <v>10.5</v>
      </c>
      <c r="G2" s="6">
        <v>15.1</v>
      </c>
      <c r="H2" s="6">
        <v>84.7</v>
      </c>
      <c r="I2" s="6">
        <v>119.9</v>
      </c>
      <c r="J2" s="6">
        <v>131.69999999999999</v>
      </c>
      <c r="K2" s="7">
        <v>127.3</v>
      </c>
    </row>
    <row r="3" spans="1:11" x14ac:dyDescent="0.3">
      <c r="A3" s="5" t="s">
        <v>9</v>
      </c>
      <c r="B3" s="5"/>
      <c r="C3" s="6"/>
      <c r="D3" s="6">
        <v>0.2</v>
      </c>
      <c r="E3" s="6">
        <v>0.2</v>
      </c>
      <c r="F3" s="6">
        <v>2.2000000000000002</v>
      </c>
      <c r="G3" s="6">
        <v>3.4</v>
      </c>
      <c r="H3" s="6">
        <v>99.8</v>
      </c>
      <c r="I3" s="6">
        <v>52.2</v>
      </c>
      <c r="J3" s="6">
        <v>37.799999999999997</v>
      </c>
      <c r="K3" s="7">
        <v>80</v>
      </c>
    </row>
    <row r="4" spans="1:11" ht="15" thickBot="1" x14ac:dyDescent="0.35">
      <c r="A4" s="8" t="s">
        <v>1</v>
      </c>
      <c r="B4" s="8">
        <v>1.1000000000000001</v>
      </c>
      <c r="C4" s="9">
        <v>0.2</v>
      </c>
      <c r="D4" s="9">
        <v>0.6</v>
      </c>
      <c r="E4" s="9">
        <v>2.2000000000000002</v>
      </c>
      <c r="F4" s="9">
        <v>2.4</v>
      </c>
      <c r="G4" s="9">
        <v>3.5</v>
      </c>
      <c r="H4" s="9">
        <v>67.3</v>
      </c>
      <c r="I4" s="9">
        <v>62.4</v>
      </c>
      <c r="J4" s="9">
        <v>20.399999999999999</v>
      </c>
      <c r="K4" s="10">
        <v>9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2"/>
  <sheetViews>
    <sheetView tabSelected="1" workbookViewId="0">
      <selection activeCell="A11" sqref="A11"/>
    </sheetView>
  </sheetViews>
  <sheetFormatPr baseColWidth="10" defaultColWidth="8.88671875" defaultRowHeight="14.4" x14ac:dyDescent="0.3"/>
  <cols>
    <col min="1" max="1" width="23.21875" style="1" bestFit="1" customWidth="1"/>
    <col min="2" max="16384" width="8.88671875" style="1"/>
  </cols>
  <sheetData>
    <row r="1" spans="1:11" ht="15" thickBot="1" x14ac:dyDescent="0.35">
      <c r="A1" s="11" t="s">
        <v>10</v>
      </c>
      <c r="B1" s="11">
        <v>2014</v>
      </c>
      <c r="C1" s="12">
        <v>2015</v>
      </c>
      <c r="D1" s="12">
        <v>2016</v>
      </c>
      <c r="E1" s="12">
        <v>2017</v>
      </c>
      <c r="F1" s="12">
        <v>2018</v>
      </c>
      <c r="G1" s="12">
        <v>2019</v>
      </c>
      <c r="H1" s="12">
        <v>2020</v>
      </c>
      <c r="I1" s="12">
        <v>2021</v>
      </c>
      <c r="J1" s="12">
        <v>2022</v>
      </c>
      <c r="K1" s="13">
        <v>2023</v>
      </c>
    </row>
    <row r="2" spans="1:11" x14ac:dyDescent="0.3">
      <c r="A2" s="2" t="s">
        <v>18</v>
      </c>
      <c r="B2" s="2"/>
      <c r="C2" s="3"/>
      <c r="D2" s="3"/>
      <c r="E2" s="3"/>
      <c r="F2" s="3">
        <v>0.4</v>
      </c>
      <c r="G2" s="3">
        <v>2.6</v>
      </c>
      <c r="H2" s="3">
        <v>47.3</v>
      </c>
      <c r="I2" s="3">
        <v>9.1</v>
      </c>
      <c r="J2" s="3">
        <v>14.3</v>
      </c>
      <c r="K2" s="4">
        <v>9.1999999999999993</v>
      </c>
    </row>
    <row r="3" spans="1:11" x14ac:dyDescent="0.3">
      <c r="A3" s="5" t="s">
        <v>19</v>
      </c>
      <c r="B3" s="5">
        <v>1.1000000000000001</v>
      </c>
      <c r="C3" s="6">
        <v>0.2</v>
      </c>
      <c r="D3" s="6">
        <v>0.6</v>
      </c>
      <c r="E3" s="6">
        <v>2.5</v>
      </c>
      <c r="F3" s="6">
        <v>2.7</v>
      </c>
      <c r="G3" s="6">
        <v>4.0999999999999996</v>
      </c>
      <c r="H3" s="6">
        <v>17.8</v>
      </c>
      <c r="I3" s="6">
        <v>7.7</v>
      </c>
      <c r="J3" s="6">
        <v>13.1</v>
      </c>
      <c r="K3" s="7">
        <v>10.4</v>
      </c>
    </row>
    <row r="4" spans="1:11" x14ac:dyDescent="0.3">
      <c r="A4" s="5" t="s">
        <v>16</v>
      </c>
      <c r="B4" s="5"/>
      <c r="C4" s="6">
        <v>1.5</v>
      </c>
      <c r="D4" s="6">
        <v>0.1</v>
      </c>
      <c r="E4" s="6">
        <v>1.9</v>
      </c>
      <c r="F4" s="6">
        <v>5</v>
      </c>
      <c r="G4" s="6">
        <v>5.6</v>
      </c>
      <c r="H4" s="6">
        <v>48.9</v>
      </c>
      <c r="I4" s="6">
        <v>31.2</v>
      </c>
      <c r="J4" s="6">
        <v>36.299999999999997</v>
      </c>
      <c r="K4" s="7">
        <v>30.5</v>
      </c>
    </row>
    <row r="5" spans="1:11" x14ac:dyDescent="0.3">
      <c r="A5" s="5" t="s">
        <v>20</v>
      </c>
      <c r="B5" s="5"/>
      <c r="C5" s="6">
        <v>1.9</v>
      </c>
      <c r="D5" s="6">
        <v>2.2999999999999998</v>
      </c>
      <c r="E5" s="6">
        <v>5</v>
      </c>
      <c r="F5" s="6">
        <v>5.7</v>
      </c>
      <c r="G5" s="6">
        <v>7.4</v>
      </c>
      <c r="H5" s="6">
        <v>126.3</v>
      </c>
      <c r="I5" s="6">
        <v>151</v>
      </c>
      <c r="J5" s="6">
        <v>108.6</v>
      </c>
      <c r="K5" s="7">
        <v>140.6</v>
      </c>
    </row>
    <row r="6" spans="1:11" x14ac:dyDescent="0.3">
      <c r="A6" s="5" t="s">
        <v>21</v>
      </c>
      <c r="B6" s="5"/>
      <c r="C6" s="6"/>
      <c r="D6" s="6"/>
      <c r="E6" s="6"/>
      <c r="F6" s="6">
        <v>1.4</v>
      </c>
      <c r="G6" s="6">
        <v>0.7</v>
      </c>
      <c r="H6" s="6">
        <v>6.3</v>
      </c>
      <c r="I6" s="6">
        <v>16.7</v>
      </c>
      <c r="J6" s="6">
        <v>17</v>
      </c>
      <c r="K6" s="7">
        <v>19.2</v>
      </c>
    </row>
    <row r="7" spans="1:11" x14ac:dyDescent="0.3">
      <c r="A7" s="5" t="s">
        <v>23</v>
      </c>
      <c r="B7" s="5"/>
      <c r="C7" s="6"/>
      <c r="D7" s="6"/>
      <c r="E7" s="6"/>
      <c r="F7" s="6"/>
      <c r="G7" s="6">
        <v>0.1</v>
      </c>
      <c r="H7" s="6">
        <v>1.8</v>
      </c>
      <c r="I7" s="6">
        <v>0.3</v>
      </c>
      <c r="J7" s="6">
        <v>0.3</v>
      </c>
      <c r="K7" s="7">
        <v>0.2</v>
      </c>
    </row>
    <row r="8" spans="1:11" ht="15" thickBot="1" x14ac:dyDescent="0.35">
      <c r="A8" s="8" t="s">
        <v>22</v>
      </c>
      <c r="B8" s="8"/>
      <c r="C8" s="9"/>
      <c r="D8" s="9"/>
      <c r="E8" s="9"/>
      <c r="F8" s="9"/>
      <c r="G8" s="9">
        <v>1.5</v>
      </c>
      <c r="H8" s="9">
        <v>3.4</v>
      </c>
      <c r="I8" s="9">
        <v>18.5</v>
      </c>
      <c r="J8" s="9">
        <v>0.4</v>
      </c>
      <c r="K8" s="10">
        <v>5.9</v>
      </c>
    </row>
    <row r="9" spans="1:11" x14ac:dyDescent="0.3">
      <c r="A9" s="5" t="s">
        <v>18</v>
      </c>
      <c r="B9" s="5">
        <f>B2</f>
        <v>0</v>
      </c>
      <c r="C9" s="6">
        <f>C2</f>
        <v>0</v>
      </c>
      <c r="D9" s="6">
        <f>D2</f>
        <v>0</v>
      </c>
      <c r="E9" s="6">
        <f>E2</f>
        <v>0</v>
      </c>
      <c r="F9" s="6">
        <f>F2</f>
        <v>0.4</v>
      </c>
      <c r="G9" s="6">
        <f>G2</f>
        <v>2.6</v>
      </c>
      <c r="H9" s="6">
        <f>H2</f>
        <v>47.3</v>
      </c>
      <c r="I9" s="6">
        <f>I2</f>
        <v>9.1</v>
      </c>
      <c r="J9" s="6">
        <f>J2</f>
        <v>14.3</v>
      </c>
      <c r="K9" s="7">
        <f>K2</f>
        <v>9.1999999999999993</v>
      </c>
    </row>
    <row r="10" spans="1:11" x14ac:dyDescent="0.3">
      <c r="A10" s="5" t="s">
        <v>16</v>
      </c>
      <c r="B10" s="5">
        <f>B3+B4</f>
        <v>1.1000000000000001</v>
      </c>
      <c r="C10" s="6">
        <f>C3+C4</f>
        <v>1.7</v>
      </c>
      <c r="D10" s="6">
        <f>D3+D4</f>
        <v>0.7</v>
      </c>
      <c r="E10" s="6">
        <f>E3+E4</f>
        <v>4.4000000000000004</v>
      </c>
      <c r="F10" s="6">
        <f>F3+F4</f>
        <v>7.7</v>
      </c>
      <c r="G10" s="6">
        <f>G3+G4</f>
        <v>9.6999999999999993</v>
      </c>
      <c r="H10" s="6">
        <f>H3+H4</f>
        <v>66.7</v>
      </c>
      <c r="I10" s="6">
        <f>I3+I4</f>
        <v>38.9</v>
      </c>
      <c r="J10" s="6">
        <f>J3+J4</f>
        <v>49.4</v>
      </c>
      <c r="K10" s="7">
        <f>K3+K4</f>
        <v>40.9</v>
      </c>
    </row>
    <row r="11" spans="1:11" x14ac:dyDescent="0.3">
      <c r="A11" s="5" t="s">
        <v>17</v>
      </c>
      <c r="B11" s="5">
        <f>B6+B5+B8</f>
        <v>0</v>
      </c>
      <c r="C11" s="6">
        <f>C6+C5+C8</f>
        <v>1.9</v>
      </c>
      <c r="D11" s="6">
        <f>D6+D5+D8</f>
        <v>2.2999999999999998</v>
      </c>
      <c r="E11" s="6">
        <f>E6+E5+E8</f>
        <v>5</v>
      </c>
      <c r="F11" s="6">
        <f>F6+F5+F8</f>
        <v>7.1</v>
      </c>
      <c r="G11" s="6">
        <f>G6+G5+G8</f>
        <v>9.6</v>
      </c>
      <c r="H11" s="6">
        <f>H6+H5+H8</f>
        <v>136</v>
      </c>
      <c r="I11" s="6">
        <f>I6+I5+I8</f>
        <v>186.2</v>
      </c>
      <c r="J11" s="6">
        <f>J6+J5+J8</f>
        <v>126</v>
      </c>
      <c r="K11" s="7">
        <f>K6+K5+K8</f>
        <v>165.7</v>
      </c>
    </row>
    <row r="12" spans="1:11" ht="15" thickBot="1" x14ac:dyDescent="0.35">
      <c r="A12" s="8" t="s">
        <v>23</v>
      </c>
      <c r="B12" s="8">
        <f>B7</f>
        <v>0</v>
      </c>
      <c r="C12" s="9">
        <f t="shared" ref="C12:K12" si="0">C7</f>
        <v>0</v>
      </c>
      <c r="D12" s="9">
        <f t="shared" si="0"/>
        <v>0</v>
      </c>
      <c r="E12" s="9">
        <f t="shared" si="0"/>
        <v>0</v>
      </c>
      <c r="F12" s="9">
        <f t="shared" si="0"/>
        <v>0</v>
      </c>
      <c r="G12" s="9">
        <f t="shared" si="0"/>
        <v>0.1</v>
      </c>
      <c r="H12" s="9">
        <f t="shared" si="0"/>
        <v>1.8</v>
      </c>
      <c r="I12" s="9">
        <f t="shared" si="0"/>
        <v>0.3</v>
      </c>
      <c r="J12" s="9">
        <f t="shared" si="0"/>
        <v>0.3</v>
      </c>
      <c r="K12" s="10">
        <f t="shared" si="0"/>
        <v>0.2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5"/>
  <sheetViews>
    <sheetView workbookViewId="0">
      <selection sqref="A1:K1"/>
    </sheetView>
  </sheetViews>
  <sheetFormatPr baseColWidth="10" defaultColWidth="8.88671875" defaultRowHeight="14.4" x14ac:dyDescent="0.3"/>
  <cols>
    <col min="1" max="1" width="10" style="1" customWidth="1"/>
    <col min="2" max="7" width="10.77734375" style="1" bestFit="1" customWidth="1"/>
    <col min="8" max="10" width="11.77734375" style="1" bestFit="1" customWidth="1"/>
    <col min="11" max="11" width="11.5546875" style="1" customWidth="1"/>
    <col min="12" max="16384" width="8.88671875" style="1"/>
  </cols>
  <sheetData>
    <row r="1" spans="1:11" ht="15" thickBot="1" x14ac:dyDescent="0.35">
      <c r="A1" s="11" t="s">
        <v>11</v>
      </c>
      <c r="B1" s="11">
        <v>2014</v>
      </c>
      <c r="C1" s="12">
        <v>2015</v>
      </c>
      <c r="D1" s="12">
        <v>2016</v>
      </c>
      <c r="E1" s="12">
        <v>2017</v>
      </c>
      <c r="F1" s="12">
        <v>2018</v>
      </c>
      <c r="G1" s="12">
        <v>2019</v>
      </c>
      <c r="H1" s="12">
        <v>2020</v>
      </c>
      <c r="I1" s="12">
        <v>2021</v>
      </c>
      <c r="J1" s="12">
        <v>2022</v>
      </c>
      <c r="K1" s="13">
        <v>2023</v>
      </c>
    </row>
    <row r="2" spans="1:11" x14ac:dyDescent="0.3">
      <c r="A2" s="5" t="s">
        <v>12</v>
      </c>
      <c r="B2" s="5">
        <v>104665344</v>
      </c>
      <c r="C2" s="6">
        <v>580396256</v>
      </c>
      <c r="D2" s="6">
        <v>600842640</v>
      </c>
      <c r="E2" s="6">
        <v>2465024800</v>
      </c>
      <c r="F2" s="6">
        <v>4233537648</v>
      </c>
      <c r="G2" s="6">
        <v>6432127080</v>
      </c>
      <c r="H2" s="6">
        <v>56680842528</v>
      </c>
      <c r="I2" s="6">
        <v>31145879328</v>
      </c>
      <c r="J2" s="6">
        <v>57667753088</v>
      </c>
      <c r="K2" s="7">
        <v>58934032512</v>
      </c>
    </row>
    <row r="3" spans="1:11" x14ac:dyDescent="0.3">
      <c r="A3" s="5" t="s">
        <v>13</v>
      </c>
      <c r="B3" s="5">
        <v>1000000000</v>
      </c>
      <c r="C3" s="6">
        <v>713440000</v>
      </c>
      <c r="D3" s="6">
        <v>1069800000</v>
      </c>
      <c r="E3" s="6">
        <v>4642730016</v>
      </c>
      <c r="F3" s="6">
        <v>5968466176</v>
      </c>
      <c r="G3" s="6">
        <v>5466792000</v>
      </c>
      <c r="H3" s="6">
        <v>20745070880</v>
      </c>
      <c r="I3" s="6">
        <v>27824703232</v>
      </c>
      <c r="J3" s="6">
        <v>33873731840</v>
      </c>
      <c r="K3" s="7">
        <v>33019164160</v>
      </c>
    </row>
    <row r="4" spans="1:11" x14ac:dyDescent="0.3">
      <c r="A4" s="5" t="s">
        <v>14</v>
      </c>
      <c r="B4" s="5"/>
      <c r="C4" s="6">
        <v>39202812</v>
      </c>
      <c r="D4" s="6">
        <v>145909320</v>
      </c>
      <c r="E4" s="6">
        <v>491774907</v>
      </c>
      <c r="F4" s="6">
        <v>857538335</v>
      </c>
      <c r="G4" s="6">
        <v>1867417224</v>
      </c>
      <c r="H4" s="6">
        <v>26917912570</v>
      </c>
      <c r="I4" s="6">
        <v>21925415433</v>
      </c>
      <c r="J4" s="6">
        <v>36797083265</v>
      </c>
      <c r="K4" s="7">
        <v>41239361628</v>
      </c>
    </row>
    <row r="5" spans="1:11" ht="15" thickBot="1" x14ac:dyDescent="0.35">
      <c r="A5" s="8" t="s">
        <v>15</v>
      </c>
      <c r="B5" s="8"/>
      <c r="C5" s="9">
        <v>2260100096</v>
      </c>
      <c r="D5" s="9">
        <v>1107200000</v>
      </c>
      <c r="E5" s="9">
        <v>1682550016</v>
      </c>
      <c r="F5" s="9">
        <v>4110824960</v>
      </c>
      <c r="G5" s="9">
        <v>8231799936</v>
      </c>
      <c r="H5" s="9">
        <v>147502414208</v>
      </c>
      <c r="I5" s="9">
        <v>153637883776</v>
      </c>
      <c r="J5" s="9">
        <v>61592634304</v>
      </c>
      <c r="K5" s="10">
        <v>83145177728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C9560C-6B5D-43A4-B22E-F379AFBE5DB0}">
  <dimension ref="A1:K5"/>
  <sheetViews>
    <sheetView workbookViewId="0"/>
  </sheetViews>
  <sheetFormatPr baseColWidth="10" defaultRowHeight="14.4" x14ac:dyDescent="0.3"/>
  <cols>
    <col min="1" max="16384" width="11.5546875" style="1"/>
  </cols>
  <sheetData>
    <row r="1" spans="1:11" x14ac:dyDescent="0.3">
      <c r="A1" s="2" t="s">
        <v>28</v>
      </c>
      <c r="B1" s="2">
        <v>2014</v>
      </c>
      <c r="C1" s="3">
        <v>2015</v>
      </c>
      <c r="D1" s="3">
        <v>2016</v>
      </c>
      <c r="E1" s="3">
        <v>2017</v>
      </c>
      <c r="F1" s="3">
        <v>2018</v>
      </c>
      <c r="G1" s="3">
        <v>2019</v>
      </c>
      <c r="H1" s="3">
        <v>2020</v>
      </c>
      <c r="I1" s="3">
        <v>2021</v>
      </c>
      <c r="J1" s="4">
        <v>2022</v>
      </c>
    </row>
    <row r="2" spans="1:11" x14ac:dyDescent="0.3">
      <c r="A2" s="5" t="s">
        <v>1</v>
      </c>
      <c r="B2" s="5">
        <v>3</v>
      </c>
      <c r="C2" s="6">
        <v>5</v>
      </c>
      <c r="D2" s="6">
        <v>2</v>
      </c>
      <c r="E2" s="6">
        <v>10</v>
      </c>
      <c r="F2" s="6">
        <v>17</v>
      </c>
      <c r="G2" s="6">
        <v>6</v>
      </c>
      <c r="H2" s="6">
        <v>28</v>
      </c>
      <c r="I2" s="6">
        <v>42</v>
      </c>
      <c r="J2" s="7">
        <v>46</v>
      </c>
    </row>
    <row r="3" spans="1:11" x14ac:dyDescent="0.3">
      <c r="A3" s="5" t="s">
        <v>24</v>
      </c>
      <c r="B3" s="5"/>
      <c r="C3" s="6">
        <v>4</v>
      </c>
      <c r="D3" s="6">
        <v>5</v>
      </c>
      <c r="E3" s="6">
        <v>24</v>
      </c>
      <c r="F3" s="6">
        <v>43</v>
      </c>
      <c r="G3" s="6">
        <v>112</v>
      </c>
      <c r="H3" s="6">
        <v>486</v>
      </c>
      <c r="I3" s="6">
        <v>2252</v>
      </c>
      <c r="J3" s="7">
        <v>3354</v>
      </c>
    </row>
    <row r="4" spans="1:11" ht="15" thickBot="1" x14ac:dyDescent="0.35">
      <c r="A4" s="8" t="s">
        <v>25</v>
      </c>
      <c r="B4" s="8"/>
      <c r="C4" s="9"/>
      <c r="D4" s="9">
        <v>2</v>
      </c>
      <c r="E4" s="9">
        <v>1</v>
      </c>
      <c r="F4" s="9">
        <v>11</v>
      </c>
      <c r="G4" s="9">
        <v>19</v>
      </c>
      <c r="H4" s="9">
        <v>749</v>
      </c>
      <c r="I4" s="9">
        <v>272</v>
      </c>
      <c r="J4" s="10">
        <v>322</v>
      </c>
    </row>
    <row r="5" spans="1:11" x14ac:dyDescent="0.3">
      <c r="A5" s="1" t="s">
        <v>26</v>
      </c>
      <c r="B5" s="1">
        <f>SUM(B2:B4)</f>
        <v>3</v>
      </c>
      <c r="C5" s="1">
        <f t="shared" ref="C5:J5" si="0">SUM(C2:C4)</f>
        <v>9</v>
      </c>
      <c r="D5" s="1">
        <f t="shared" si="0"/>
        <v>9</v>
      </c>
      <c r="E5" s="1">
        <f t="shared" si="0"/>
        <v>35</v>
      </c>
      <c r="F5" s="1">
        <f t="shared" si="0"/>
        <v>71</v>
      </c>
      <c r="G5" s="1">
        <f t="shared" si="0"/>
        <v>137</v>
      </c>
      <c r="H5" s="1">
        <f t="shared" si="0"/>
        <v>1263</v>
      </c>
      <c r="I5" s="1">
        <f t="shared" si="0"/>
        <v>2566</v>
      </c>
      <c r="J5" s="1">
        <f t="shared" si="0"/>
        <v>3722</v>
      </c>
      <c r="K5" s="1">
        <f>SUM(B5:J5)</f>
        <v>7815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9A09C5-3943-4866-A9BE-EC65288690DC}">
  <dimension ref="A1:K6"/>
  <sheetViews>
    <sheetView workbookViewId="0">
      <selection activeCell="B1" sqref="B1:J6"/>
    </sheetView>
  </sheetViews>
  <sheetFormatPr baseColWidth="10" defaultRowHeight="14.4" x14ac:dyDescent="0.3"/>
  <cols>
    <col min="1" max="16384" width="11.5546875" style="1"/>
  </cols>
  <sheetData>
    <row r="1" spans="1:11" ht="15" thickBot="1" x14ac:dyDescent="0.35">
      <c r="A1" s="2" t="s">
        <v>29</v>
      </c>
      <c r="B1" s="2">
        <v>2014</v>
      </c>
      <c r="C1" s="3">
        <v>2015</v>
      </c>
      <c r="D1" s="3">
        <v>2016</v>
      </c>
      <c r="E1" s="3">
        <v>2017</v>
      </c>
      <c r="F1" s="3">
        <v>2018</v>
      </c>
      <c r="G1" s="3">
        <v>2019</v>
      </c>
      <c r="H1" s="3">
        <v>2020</v>
      </c>
      <c r="I1" s="3">
        <v>2021</v>
      </c>
      <c r="J1" s="4">
        <v>2022</v>
      </c>
    </row>
    <row r="2" spans="1:11" x14ac:dyDescent="0.3">
      <c r="A2" s="2" t="s">
        <v>1</v>
      </c>
      <c r="B2" s="2">
        <v>1</v>
      </c>
      <c r="C2" s="3">
        <v>1</v>
      </c>
      <c r="D2" s="3">
        <v>1</v>
      </c>
      <c r="E2" s="3">
        <v>2</v>
      </c>
      <c r="F2" s="3">
        <v>2</v>
      </c>
      <c r="G2" s="3">
        <v>2</v>
      </c>
      <c r="H2" s="3">
        <v>3</v>
      </c>
      <c r="I2" s="3">
        <v>6</v>
      </c>
      <c r="J2" s="4">
        <v>6</v>
      </c>
    </row>
    <row r="3" spans="1:11" x14ac:dyDescent="0.3">
      <c r="A3" s="5" t="s">
        <v>27</v>
      </c>
      <c r="B3" s="5">
        <v>2</v>
      </c>
      <c r="C3" s="6">
        <v>2</v>
      </c>
      <c r="D3" s="6">
        <v>1</v>
      </c>
      <c r="E3" s="6">
        <v>2</v>
      </c>
      <c r="F3" s="6">
        <v>2</v>
      </c>
      <c r="G3" s="6">
        <v>1</v>
      </c>
      <c r="H3" s="6">
        <v>5</v>
      </c>
      <c r="I3" s="6">
        <v>5</v>
      </c>
      <c r="J3" s="7">
        <v>3</v>
      </c>
    </row>
    <row r="4" spans="1:11" x14ac:dyDescent="0.3">
      <c r="A4" s="5" t="s">
        <v>24</v>
      </c>
      <c r="B4" s="5"/>
      <c r="C4" s="6">
        <v>4</v>
      </c>
      <c r="D4" s="6">
        <v>4</v>
      </c>
      <c r="E4" s="6">
        <v>14</v>
      </c>
      <c r="F4" s="6">
        <v>13</v>
      </c>
      <c r="G4" s="6">
        <v>26</v>
      </c>
      <c r="H4" s="6">
        <v>63</v>
      </c>
      <c r="I4" s="6">
        <v>119</v>
      </c>
      <c r="J4" s="7">
        <v>143</v>
      </c>
    </row>
    <row r="5" spans="1:11" x14ac:dyDescent="0.3">
      <c r="A5" s="5" t="s">
        <v>25</v>
      </c>
      <c r="B5" s="5"/>
      <c r="C5" s="6"/>
      <c r="D5" s="6">
        <v>1</v>
      </c>
      <c r="E5" s="6">
        <v>1</v>
      </c>
      <c r="F5" s="6">
        <v>9</v>
      </c>
      <c r="G5" s="6">
        <v>9</v>
      </c>
      <c r="H5" s="6">
        <v>458</v>
      </c>
      <c r="I5" s="6">
        <v>59</v>
      </c>
      <c r="J5" s="7">
        <v>60</v>
      </c>
    </row>
    <row r="6" spans="1:11" ht="15" thickBot="1" x14ac:dyDescent="0.35">
      <c r="A6" s="8" t="s">
        <v>26</v>
      </c>
      <c r="B6" s="8">
        <f>SUM(B2:B5)</f>
        <v>3</v>
      </c>
      <c r="C6" s="9">
        <f t="shared" ref="C6:J6" si="0">SUM(C2:C5)</f>
        <v>7</v>
      </c>
      <c r="D6" s="9">
        <f t="shared" si="0"/>
        <v>7</v>
      </c>
      <c r="E6" s="9">
        <f t="shared" si="0"/>
        <v>19</v>
      </c>
      <c r="F6" s="9">
        <f t="shared" si="0"/>
        <v>26</v>
      </c>
      <c r="G6" s="9">
        <f t="shared" si="0"/>
        <v>38</v>
      </c>
      <c r="H6" s="9">
        <f t="shared" si="0"/>
        <v>529</v>
      </c>
      <c r="I6" s="9">
        <f t="shared" si="0"/>
        <v>189</v>
      </c>
      <c r="J6" s="10">
        <f t="shared" si="0"/>
        <v>212</v>
      </c>
      <c r="K6" s="1">
        <f>SUM(B6:J6)</f>
        <v>1030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Region</vt:lpstr>
      <vt:lpstr>Market</vt:lpstr>
      <vt:lpstr>Type</vt:lpstr>
      <vt:lpstr>Deal Size</vt:lpstr>
      <vt:lpstr>Deal Count</vt:lpstr>
      <vt:lpstr>Issuer Count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Semet Raphaël (AMUNDI)</dc:creator>
  <cp:lastModifiedBy>Thierry Roncalli</cp:lastModifiedBy>
  <dcterms:created xsi:type="dcterms:W3CDTF">2023-01-31T09:09:19Z</dcterms:created>
  <dcterms:modified xsi:type="dcterms:W3CDTF">2024-04-27T14:06:07Z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ac45191-74e4-40a9-a4c5-ab5c9391e33a_Enabled">
    <vt:lpwstr>true</vt:lpwstr>
  </property>
  <property fmtid="{D5CDD505-2E9C-101B-9397-08002B2CF9AE}" pid="3" name="MSIP_Label_6ac45191-74e4-40a9-a4c5-ab5c9391e33a_SetDate">
    <vt:lpwstr>2023-01-31T09:06:51Z</vt:lpwstr>
  </property>
  <property fmtid="{D5CDD505-2E9C-101B-9397-08002B2CF9AE}" pid="4" name="MSIP_Label_6ac45191-74e4-40a9-a4c5-ab5c9391e33a_Method">
    <vt:lpwstr>Standard</vt:lpwstr>
  </property>
  <property fmtid="{D5CDD505-2E9C-101B-9397-08002B2CF9AE}" pid="5" name="MSIP_Label_6ac45191-74e4-40a9-a4c5-ab5c9391e33a_Name">
    <vt:lpwstr>Internal Data</vt:lpwstr>
  </property>
  <property fmtid="{D5CDD505-2E9C-101B-9397-08002B2CF9AE}" pid="6" name="MSIP_Label_6ac45191-74e4-40a9-a4c5-ab5c9391e33a_SiteId">
    <vt:lpwstr>a5c34232-eadc-4609-bff3-dd6fcdae3fe2</vt:lpwstr>
  </property>
  <property fmtid="{D5CDD505-2E9C-101B-9397-08002B2CF9AE}" pid="7" name="MSIP_Label_6ac45191-74e4-40a9-a4c5-ab5c9391e33a_ActionId">
    <vt:lpwstr>98de0d54-6dda-4207-953e-f250b58e0f47</vt:lpwstr>
  </property>
  <property fmtid="{D5CDD505-2E9C-101B-9397-08002B2CF9AE}" pid="8" name="MSIP_Label_6ac45191-74e4-40a9-a4c5-ab5c9391e33a_ContentBits">
    <vt:lpwstr>0</vt:lpwstr>
  </property>
</Properties>
</file>