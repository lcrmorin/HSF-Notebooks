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4. ESG Products\Data\"/>
    </mc:Choice>
  </mc:AlternateContent>
  <xr:revisionPtr revIDLastSave="0" documentId="13_ncr:1_{B74CCD93-AB3A-4EAE-B0C6-8825F9928DD5}" xr6:coauthVersionLast="47" xr6:coauthVersionMax="47" xr10:uidLastSave="{00000000-0000-0000-0000-000000000000}"/>
  <bookViews>
    <workbookView xWindow="19080" yWindow="-120" windowWidth="19440" windowHeight="15000" activeTab="2" xr2:uid="{00000000-000D-0000-FFFF-FFFF00000000}"/>
  </bookViews>
  <sheets>
    <sheet name="SFDR" sheetId="1" r:id="rId1"/>
    <sheet name="Country (1)" sheetId="2" r:id="rId2"/>
    <sheet name="Country (2)" sheetId="5" r:id="rId3"/>
    <sheet name="Sheet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5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4" i="3"/>
  <c r="G26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D5" i="3"/>
  <c r="D6" i="3"/>
  <c r="H28" i="3" s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4" i="3"/>
  <c r="E26" i="5"/>
  <c r="F9" i="5" s="1"/>
  <c r="G26" i="5"/>
  <c r="I26" i="5" s="1"/>
  <c r="I4" i="5"/>
  <c r="I18" i="5"/>
  <c r="I20" i="5"/>
  <c r="I17" i="5"/>
  <c r="I12" i="5"/>
  <c r="I23" i="5"/>
  <c r="I11" i="5"/>
  <c r="I22" i="5"/>
  <c r="I10" i="5"/>
  <c r="I14" i="5"/>
  <c r="I24" i="5"/>
  <c r="I13" i="5"/>
  <c r="I6" i="5"/>
  <c r="I7" i="5"/>
  <c r="I21" i="5"/>
  <c r="I9" i="5"/>
  <c r="I16" i="5"/>
  <c r="I15" i="5"/>
  <c r="I19" i="5"/>
  <c r="I5" i="5"/>
  <c r="I8" i="5"/>
  <c r="I25" i="5"/>
  <c r="H26" i="2"/>
  <c r="F26" i="2"/>
  <c r="I26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4" i="2"/>
  <c r="G26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4" i="2"/>
  <c r="E26" i="2"/>
  <c r="C6" i="1"/>
  <c r="C7" i="1"/>
  <c r="D3" i="3" l="1"/>
  <c r="H3" i="3"/>
  <c r="H27" i="3" s="1"/>
  <c r="H29" i="3" s="1"/>
  <c r="H9" i="5"/>
  <c r="H17" i="5"/>
  <c r="F5" i="5"/>
  <c r="H13" i="5"/>
  <c r="H5" i="5"/>
  <c r="F4" i="5"/>
  <c r="F22" i="5"/>
  <c r="H4" i="5"/>
  <c r="H22" i="5"/>
  <c r="F19" i="5"/>
  <c r="F21" i="5"/>
  <c r="F24" i="5"/>
  <c r="F11" i="5"/>
  <c r="F20" i="5"/>
  <c r="H19" i="5"/>
  <c r="H24" i="5"/>
  <c r="F25" i="5"/>
  <c r="F15" i="5"/>
  <c r="F7" i="5"/>
  <c r="F14" i="5"/>
  <c r="F23" i="5"/>
  <c r="F18" i="5"/>
  <c r="F13" i="5"/>
  <c r="F17" i="5"/>
  <c r="H21" i="5"/>
  <c r="H11" i="5"/>
  <c r="H20" i="5"/>
  <c r="H25" i="5"/>
  <c r="H15" i="5"/>
  <c r="H7" i="5"/>
  <c r="H14" i="5"/>
  <c r="H23" i="5"/>
  <c r="H18" i="5"/>
  <c r="F8" i="5"/>
  <c r="F16" i="5"/>
  <c r="F6" i="5"/>
  <c r="F10" i="5"/>
  <c r="F12" i="5"/>
  <c r="H8" i="5"/>
  <c r="H16" i="5"/>
  <c r="H6" i="5"/>
  <c r="H10" i="5"/>
  <c r="H12" i="5"/>
  <c r="H26" i="5" l="1"/>
  <c r="F26" i="5"/>
</calcChain>
</file>

<file path=xl/sharedStrings.xml><?xml version="1.0" encoding="utf-8"?>
<sst xmlns="http://schemas.openxmlformats.org/spreadsheetml/2006/main" count="131" uniqueCount="49">
  <si>
    <t>Article 8</t>
  </si>
  <si>
    <t>Article 9</t>
  </si>
  <si>
    <t>Article 6</t>
  </si>
  <si>
    <t>Q4 2022</t>
  </si>
  <si>
    <t>Q1 2021</t>
  </si>
  <si>
    <t>Number of funds</t>
  </si>
  <si>
    <t>Assets under management</t>
  </si>
  <si>
    <t>Sweden</t>
  </si>
  <si>
    <t>Finland</t>
  </si>
  <si>
    <t>Belgium</t>
  </si>
  <si>
    <t>Norway</t>
  </si>
  <si>
    <t>Luxembourg</t>
  </si>
  <si>
    <t>France</t>
  </si>
  <si>
    <t>Portugal</t>
  </si>
  <si>
    <t>Denmark</t>
  </si>
  <si>
    <t>Croatia</t>
  </si>
  <si>
    <t>Ireland</t>
  </si>
  <si>
    <t>Spain</t>
  </si>
  <si>
    <t>Italy</t>
  </si>
  <si>
    <t>Germany</t>
  </si>
  <si>
    <t>Slovakia</t>
  </si>
  <si>
    <t>Greece</t>
  </si>
  <si>
    <t>Slovenia</t>
  </si>
  <si>
    <t>Hungary</t>
  </si>
  <si>
    <t>Malta</t>
  </si>
  <si>
    <t>Poland</t>
  </si>
  <si>
    <t>Netherlands</t>
  </si>
  <si>
    <t>Austria</t>
  </si>
  <si>
    <t>Country</t>
  </si>
  <si>
    <t>Total</t>
  </si>
  <si>
    <t>Ratio</t>
  </si>
  <si>
    <t>Europe</t>
  </si>
  <si>
    <t>Liechtenstein</t>
  </si>
  <si>
    <t>Turkey</t>
  </si>
  <si>
    <t>Switzerland</t>
  </si>
  <si>
    <t>Romania</t>
  </si>
  <si>
    <t>Cyprus</t>
  </si>
  <si>
    <t>Bulgaria</t>
  </si>
  <si>
    <t>United Kingdom</t>
  </si>
  <si>
    <t>Czech Republic</t>
  </si>
  <si>
    <t>Domestic market share</t>
  </si>
  <si>
    <t>Article 8 market</t>
  </si>
  <si>
    <t>Article 9 market</t>
  </si>
  <si>
    <t>in %</t>
  </si>
  <si>
    <t>in E bn</t>
  </si>
  <si>
    <t>Art9/Art8</t>
  </si>
  <si>
    <t>share</t>
  </si>
  <si>
    <t>Country Market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</si>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</sst>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1" xfId="0" applyFill="1" applyBorder="1"/>
    <xf numFmtId="0" fontId="0" fillId="2" borderId="2" xfId="0" applyFill="1" applyBorder="1"/>
    <xf numFmtId="164" fontId="0" fillId="2" borderId="2" xfId="0" applyNumberFormat="1" applyFill="1" applyBorder="1"/>
    <xf numFmtId="164" fontId="0" fillId="2" borderId="0" xfId="0" applyNumberFormat="1" applyFill="1" applyBorder="1"/>
    <xf numFmtId="164" fontId="0" fillId="2" borderId="3" xfId="0" applyNumberFormat="1" applyFill="1" applyBorder="1"/>
    <xf numFmtId="0" fontId="0" fillId="2" borderId="10" xfId="0" applyFill="1" applyBorder="1"/>
    <xf numFmtId="0" fontId="0" fillId="2" borderId="4" xfId="0" applyFill="1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0" fontId="0" fillId="2" borderId="11" xfId="0" applyFill="1" applyBorder="1"/>
    <xf numFmtId="10" fontId="0" fillId="2" borderId="0" xfId="1" applyNumberFormat="1" applyFont="1" applyFill="1"/>
    <xf numFmtId="0" fontId="0" fillId="3" borderId="7" xfId="0" applyFill="1" applyBorder="1"/>
    <xf numFmtId="0" fontId="0" fillId="4" borderId="7" xfId="0" applyFill="1" applyBorder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0" fontId="0" fillId="3" borderId="9" xfId="1" applyNumberFormat="1" applyFon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10" fontId="0" fillId="2" borderId="3" xfId="1" applyNumberFormat="1" applyFont="1" applyFill="1" applyBorder="1" applyAlignment="1">
      <alignment horizontal="center"/>
    </xf>
    <xf numFmtId="2" fontId="0" fillId="2" borderId="2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10" fontId="0" fillId="4" borderId="9" xfId="1" applyNumberFormat="1" applyFon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4" borderId="7" xfId="0" applyNumberFormat="1" applyFill="1" applyBorder="1" applyAlignment="1">
      <alignment horizontal="center"/>
    </xf>
    <xf numFmtId="10" fontId="0" fillId="4" borderId="9" xfId="0" applyNumberFormat="1" applyFill="1" applyBorder="1" applyAlignment="1">
      <alignment horizontal="center"/>
    </xf>
    <xf numFmtId="0" fontId="0" fillId="5" borderId="7" xfId="0" applyFill="1" applyBorder="1"/>
    <xf numFmtId="2" fontId="0" fillId="5" borderId="8" xfId="0" applyNumberFormat="1" applyFill="1" applyBorder="1" applyAlignment="1">
      <alignment horizontal="center"/>
    </xf>
    <xf numFmtId="9" fontId="0" fillId="5" borderId="9" xfId="1" applyFon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10" fontId="0" fillId="2" borderId="6" xfId="1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0" fontId="0" fillId="3" borderId="2" xfId="0" applyFill="1" applyBorder="1"/>
    <xf numFmtId="2" fontId="0" fillId="3" borderId="0" xfId="0" applyNumberFormat="1" applyFill="1" applyBorder="1" applyAlignment="1">
      <alignment horizontal="center"/>
    </xf>
    <xf numFmtId="10" fontId="0" fillId="3" borderId="3" xfId="1" applyNumberFormat="1" applyFont="1" applyFill="1" applyBorder="1" applyAlignment="1">
      <alignment horizontal="center"/>
    </xf>
    <xf numFmtId="0" fontId="0" fillId="3" borderId="4" xfId="0" applyFill="1" applyBorder="1"/>
    <xf numFmtId="2" fontId="0" fillId="3" borderId="5" xfId="0" applyNumberFormat="1" applyFill="1" applyBorder="1" applyAlignment="1">
      <alignment horizontal="center"/>
    </xf>
    <xf numFmtId="10" fontId="0" fillId="3" borderId="6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0" fillId="2" borderId="12" xfId="1" applyNumberFormat="1" applyFont="1" applyFill="1" applyBorder="1" applyAlignment="1">
      <alignment horizontal="center"/>
    </xf>
    <xf numFmtId="10" fontId="0" fillId="2" borderId="10" xfId="1" applyNumberFormat="1" applyFont="1" applyFill="1" applyBorder="1" applyAlignment="1">
      <alignment horizontal="center"/>
    </xf>
    <xf numFmtId="10" fontId="0" fillId="2" borderId="1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2" borderId="5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7"/>
  <sheetViews>
    <sheetView workbookViewId="0">
      <selection activeCell="E30" sqref="E30"/>
    </sheetView>
  </sheetViews>
  <sheetFormatPr defaultColWidth="8.85546875" defaultRowHeight="15" x14ac:dyDescent="0.25"/>
  <cols>
    <col min="1" max="6" width="8.85546875" style="1"/>
    <col min="7" max="7" width="25" style="1" customWidth="1"/>
    <col min="8" max="16384" width="8.85546875" style="1"/>
  </cols>
  <sheetData>
    <row r="4" spans="2:10" ht="15.75" thickBot="1" x14ac:dyDescent="0.3"/>
    <row r="5" spans="2:10" ht="15.75" thickBot="1" x14ac:dyDescent="0.3">
      <c r="B5" s="2"/>
      <c r="C5" s="2" t="s">
        <v>2</v>
      </c>
      <c r="D5" s="3" t="s">
        <v>0</v>
      </c>
      <c r="E5" s="4" t="s">
        <v>1</v>
      </c>
      <c r="F5" s="5"/>
      <c r="G5" s="6"/>
      <c r="H5" s="3" t="s">
        <v>2</v>
      </c>
      <c r="I5" s="3" t="s">
        <v>0</v>
      </c>
      <c r="J5" s="4" t="s">
        <v>1</v>
      </c>
    </row>
    <row r="6" spans="2:10" x14ac:dyDescent="0.25">
      <c r="B6" s="7" t="s">
        <v>4</v>
      </c>
      <c r="C6" s="8">
        <f>1-D6-E6</f>
        <v>0.72699999999999998</v>
      </c>
      <c r="D6" s="9">
        <v>0.25</v>
      </c>
      <c r="E6" s="10">
        <v>2.3E-2</v>
      </c>
      <c r="F6" s="9"/>
      <c r="G6" s="11" t="s">
        <v>5</v>
      </c>
      <c r="H6" s="9">
        <v>0.52500000000000002</v>
      </c>
      <c r="I6" s="9">
        <v>0.434</v>
      </c>
      <c r="J6" s="10">
        <v>0.04</v>
      </c>
    </row>
    <row r="7" spans="2:10" ht="15.75" thickBot="1" x14ac:dyDescent="0.3">
      <c r="B7" s="12" t="s">
        <v>3</v>
      </c>
      <c r="C7" s="13">
        <f>1-D7-E7</f>
        <v>0.52600000000000002</v>
      </c>
      <c r="D7" s="14">
        <v>0.45</v>
      </c>
      <c r="E7" s="15">
        <v>2.4E-2</v>
      </c>
      <c r="F7" s="9"/>
      <c r="G7" s="16" t="s">
        <v>6</v>
      </c>
      <c r="H7" s="14">
        <v>0.41</v>
      </c>
      <c r="I7" s="14">
        <v>0.55500000000000005</v>
      </c>
      <c r="J7" s="15">
        <v>3.5000000000000003E-2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BEE9-ACB1-4917-BCB8-BA35E8BB987C}">
  <dimension ref="B2:I26"/>
  <sheetViews>
    <sheetView workbookViewId="0">
      <selection activeCell="B8" sqref="B8"/>
    </sheetView>
  </sheetViews>
  <sheetFormatPr defaultColWidth="11.5703125" defaultRowHeight="15" x14ac:dyDescent="0.25"/>
  <cols>
    <col min="1" max="1" width="11.5703125" style="1"/>
    <col min="2" max="2" width="13.140625" style="1" customWidth="1"/>
    <col min="3" max="4" width="11.5703125" style="20"/>
    <col min="5" max="5" width="11.5703125" style="34"/>
    <col min="6" max="6" width="11.5703125" style="20"/>
    <col min="7" max="7" width="11.5703125" style="21"/>
    <col min="8" max="8" width="11.5703125" style="20"/>
    <col min="9" max="9" width="11.5703125" style="22"/>
    <col min="10" max="16384" width="11.5703125" style="1"/>
  </cols>
  <sheetData>
    <row r="2" spans="2:9" ht="15.75" thickBot="1" x14ac:dyDescent="0.3"/>
    <row r="3" spans="2:9" ht="15.75" thickBot="1" x14ac:dyDescent="0.3">
      <c r="B3" s="18" t="s">
        <v>28</v>
      </c>
      <c r="C3" s="23" t="s">
        <v>0</v>
      </c>
      <c r="D3" s="23" t="s">
        <v>1</v>
      </c>
      <c r="E3" s="35" t="s">
        <v>0</v>
      </c>
      <c r="F3" s="25" t="s">
        <v>0</v>
      </c>
      <c r="G3" s="24" t="s">
        <v>1</v>
      </c>
      <c r="H3" s="25" t="s">
        <v>1</v>
      </c>
      <c r="I3" s="26" t="s">
        <v>30</v>
      </c>
    </row>
    <row r="4" spans="2:9" x14ac:dyDescent="0.25">
      <c r="B4" s="7" t="s">
        <v>7</v>
      </c>
      <c r="C4" s="27">
        <v>0.95599999999999996</v>
      </c>
      <c r="D4" s="27">
        <v>1.6E-2</v>
      </c>
      <c r="E4" s="36">
        <v>473</v>
      </c>
      <c r="F4" s="29">
        <f>E4/$E$26</f>
        <v>7.3489427155353226E-2</v>
      </c>
      <c r="G4" s="28">
        <v>7.8</v>
      </c>
      <c r="H4" s="29">
        <f>G4/$G$26</f>
        <v>2.2837734965157817E-2</v>
      </c>
      <c r="I4" s="29">
        <f>G4/E4</f>
        <v>1.6490486257928118E-2</v>
      </c>
    </row>
    <row r="5" spans="2:9" x14ac:dyDescent="0.25">
      <c r="B5" s="7" t="s">
        <v>8</v>
      </c>
      <c r="C5" s="27">
        <v>0.87</v>
      </c>
      <c r="D5" s="27">
        <v>0.104</v>
      </c>
      <c r="E5" s="36">
        <v>120</v>
      </c>
      <c r="F5" s="29">
        <f t="shared" ref="F5:F25" si="0">E5/$E$26</f>
        <v>1.8644252132436336E-2</v>
      </c>
      <c r="G5" s="28">
        <v>14.4</v>
      </c>
      <c r="H5" s="29">
        <f t="shared" ref="H5:H25" si="1">G5/$G$26</f>
        <v>4.2161972243368276E-2</v>
      </c>
      <c r="I5" s="29">
        <f t="shared" ref="I5:I25" si="2">G5/E5</f>
        <v>0.12000000000000001</v>
      </c>
    </row>
    <row r="6" spans="2:9" x14ac:dyDescent="0.25">
      <c r="B6" s="7" t="s">
        <v>9</v>
      </c>
      <c r="C6" s="27">
        <v>0.65600000000000003</v>
      </c>
      <c r="D6" s="27">
        <v>5.1999999999999998E-2</v>
      </c>
      <c r="E6" s="36">
        <v>120</v>
      </c>
      <c r="F6" s="29">
        <f t="shared" si="0"/>
        <v>1.8644252132436336E-2</v>
      </c>
      <c r="G6" s="28">
        <v>9.6</v>
      </c>
      <c r="H6" s="29">
        <f t="shared" si="1"/>
        <v>2.8107981495578849E-2</v>
      </c>
      <c r="I6" s="29">
        <f t="shared" si="2"/>
        <v>0.08</v>
      </c>
    </row>
    <row r="7" spans="2:9" x14ac:dyDescent="0.25">
      <c r="B7" s="7" t="s">
        <v>10</v>
      </c>
      <c r="C7" s="27">
        <v>0.65200000000000002</v>
      </c>
      <c r="D7" s="27">
        <v>4.2999999999999997E-2</v>
      </c>
      <c r="E7" s="36">
        <v>103</v>
      </c>
      <c r="F7" s="29">
        <f t="shared" si="0"/>
        <v>1.600298308034119E-2</v>
      </c>
      <c r="G7" s="30">
        <v>6.7</v>
      </c>
      <c r="H7" s="29">
        <f t="shared" si="1"/>
        <v>1.9617028752122741E-2</v>
      </c>
      <c r="I7" s="29">
        <f t="shared" si="2"/>
        <v>6.5048543689320393E-2</v>
      </c>
    </row>
    <row r="8" spans="2:9" x14ac:dyDescent="0.25">
      <c r="B8" s="7" t="s">
        <v>32</v>
      </c>
      <c r="C8" s="27">
        <v>0.55800000000000005</v>
      </c>
      <c r="D8" s="27">
        <v>0.03</v>
      </c>
      <c r="E8" s="36">
        <v>39</v>
      </c>
      <c r="F8" s="29">
        <f t="shared" si="0"/>
        <v>6.0593819430418095E-3</v>
      </c>
      <c r="G8" s="28">
        <v>2.1</v>
      </c>
      <c r="H8" s="29">
        <f t="shared" si="1"/>
        <v>6.1486209521578739E-3</v>
      </c>
      <c r="I8" s="29">
        <f t="shared" si="2"/>
        <v>5.3846153846153849E-2</v>
      </c>
    </row>
    <row r="9" spans="2:9" x14ac:dyDescent="0.25">
      <c r="B9" s="7" t="s">
        <v>11</v>
      </c>
      <c r="C9" s="27">
        <v>0.53800000000000003</v>
      </c>
      <c r="D9" s="27">
        <v>4.2999999999999997E-2</v>
      </c>
      <c r="E9" s="36">
        <v>2194</v>
      </c>
      <c r="F9" s="29">
        <f t="shared" si="0"/>
        <v>0.34087907648804439</v>
      </c>
      <c r="G9" s="30">
        <v>175.4</v>
      </c>
      <c r="H9" s="29">
        <f t="shared" si="1"/>
        <v>0.51355624524213861</v>
      </c>
      <c r="I9" s="29">
        <f t="shared" si="2"/>
        <v>7.9945305378304465E-2</v>
      </c>
    </row>
    <row r="10" spans="2:9" x14ac:dyDescent="0.25">
      <c r="B10" s="7" t="s">
        <v>12</v>
      </c>
      <c r="C10" s="27">
        <v>0.503</v>
      </c>
      <c r="D10" s="27">
        <v>3.4000000000000002E-2</v>
      </c>
      <c r="E10" s="36">
        <v>903</v>
      </c>
      <c r="F10" s="29">
        <f t="shared" si="0"/>
        <v>0.14029799729658343</v>
      </c>
      <c r="G10" s="28">
        <v>61.3</v>
      </c>
      <c r="H10" s="29">
        <f t="shared" si="1"/>
        <v>0.17948117350822745</v>
      </c>
      <c r="I10" s="29">
        <f t="shared" si="2"/>
        <v>6.7884828349944623E-2</v>
      </c>
    </row>
    <row r="11" spans="2:9" x14ac:dyDescent="0.25">
      <c r="B11" s="7" t="s">
        <v>13</v>
      </c>
      <c r="C11" s="27">
        <v>0.47699999999999998</v>
      </c>
      <c r="D11" s="27">
        <v>3.0000000000000001E-3</v>
      </c>
      <c r="E11" s="36">
        <v>14</v>
      </c>
      <c r="F11" s="29">
        <f t="shared" si="0"/>
        <v>2.1751627487842395E-3</v>
      </c>
      <c r="G11" s="28">
        <v>0.1</v>
      </c>
      <c r="H11" s="29">
        <f t="shared" si="1"/>
        <v>2.9279147391227974E-4</v>
      </c>
      <c r="I11" s="29">
        <f t="shared" si="2"/>
        <v>7.1428571428571435E-3</v>
      </c>
    </row>
    <row r="12" spans="2:9" x14ac:dyDescent="0.25">
      <c r="B12" s="7" t="s">
        <v>14</v>
      </c>
      <c r="C12" s="27">
        <v>0.40300000000000002</v>
      </c>
      <c r="D12" s="27">
        <v>2.5000000000000001E-2</v>
      </c>
      <c r="E12" s="36">
        <v>114</v>
      </c>
      <c r="F12" s="29">
        <f t="shared" si="0"/>
        <v>1.7712039525814519E-2</v>
      </c>
      <c r="G12" s="28">
        <v>7.1</v>
      </c>
      <c r="H12" s="29">
        <f t="shared" si="1"/>
        <v>2.0788194647771856E-2</v>
      </c>
      <c r="I12" s="29">
        <f t="shared" si="2"/>
        <v>6.2280701754385964E-2</v>
      </c>
    </row>
    <row r="13" spans="2:9" x14ac:dyDescent="0.25">
      <c r="B13" s="7" t="s">
        <v>15</v>
      </c>
      <c r="C13" s="27">
        <v>0.36899999999999999</v>
      </c>
      <c r="D13" s="27">
        <v>3.0000000000000001E-3</v>
      </c>
      <c r="E13" s="36">
        <v>1</v>
      </c>
      <c r="F13" s="29">
        <f t="shared" si="0"/>
        <v>1.5536876777030281E-4</v>
      </c>
      <c r="G13" s="28">
        <v>0</v>
      </c>
      <c r="H13" s="29">
        <f t="shared" si="1"/>
        <v>0</v>
      </c>
      <c r="I13" s="29">
        <f t="shared" si="2"/>
        <v>0</v>
      </c>
    </row>
    <row r="14" spans="2:9" x14ac:dyDescent="0.25">
      <c r="B14" s="7" t="s">
        <v>16</v>
      </c>
      <c r="C14" s="27">
        <v>0.36099999999999999</v>
      </c>
      <c r="D14" s="27">
        <v>8.9999999999999993E-3</v>
      </c>
      <c r="E14" s="36">
        <v>1015</v>
      </c>
      <c r="F14" s="29">
        <f t="shared" si="0"/>
        <v>0.15769929928685736</v>
      </c>
      <c r="G14" s="28">
        <v>24.4</v>
      </c>
      <c r="H14" s="29">
        <f t="shared" si="1"/>
        <v>7.1441119634596248E-2</v>
      </c>
      <c r="I14" s="29">
        <f t="shared" si="2"/>
        <v>2.4039408866995071E-2</v>
      </c>
    </row>
    <row r="15" spans="2:9" x14ac:dyDescent="0.25">
      <c r="B15" s="7" t="s">
        <v>17</v>
      </c>
      <c r="C15" s="27">
        <v>0.311</v>
      </c>
      <c r="D15" s="27">
        <v>8.0000000000000002E-3</v>
      </c>
      <c r="E15" s="36">
        <v>100</v>
      </c>
      <c r="F15" s="29">
        <f t="shared" si="0"/>
        <v>1.553687677703028E-2</v>
      </c>
      <c r="G15" s="28">
        <v>2.7</v>
      </c>
      <c r="H15" s="29">
        <f t="shared" si="1"/>
        <v>7.9053697956315526E-3</v>
      </c>
      <c r="I15" s="29">
        <f t="shared" si="2"/>
        <v>2.7000000000000003E-2</v>
      </c>
    </row>
    <row r="16" spans="2:9" x14ac:dyDescent="0.25">
      <c r="B16" s="7" t="s">
        <v>18</v>
      </c>
      <c r="C16" s="27">
        <v>0.26100000000000001</v>
      </c>
      <c r="D16" s="27">
        <v>0.02</v>
      </c>
      <c r="E16" s="36">
        <v>89</v>
      </c>
      <c r="F16" s="29">
        <f t="shared" si="0"/>
        <v>1.382782033155695E-2</v>
      </c>
      <c r="G16" s="28">
        <v>6.9</v>
      </c>
      <c r="H16" s="29">
        <f t="shared" si="1"/>
        <v>2.02026116999473E-2</v>
      </c>
      <c r="I16" s="29">
        <f t="shared" si="2"/>
        <v>7.7528089887640456E-2</v>
      </c>
    </row>
    <row r="17" spans="2:9" x14ac:dyDescent="0.25">
      <c r="B17" s="7" t="s">
        <v>19</v>
      </c>
      <c r="C17" s="27">
        <v>0.158</v>
      </c>
      <c r="D17" s="27">
        <v>2E-3</v>
      </c>
      <c r="E17" s="36">
        <v>410</v>
      </c>
      <c r="F17" s="29">
        <f t="shared" si="0"/>
        <v>6.3701194785824158E-2</v>
      </c>
      <c r="G17" s="28">
        <v>5</v>
      </c>
      <c r="H17" s="29">
        <f t="shared" si="1"/>
        <v>1.4639573695613986E-2</v>
      </c>
      <c r="I17" s="29">
        <f t="shared" si="2"/>
        <v>1.2195121951219513E-2</v>
      </c>
    </row>
    <row r="18" spans="2:9" x14ac:dyDescent="0.25">
      <c r="B18" s="7" t="s">
        <v>20</v>
      </c>
      <c r="C18" s="27">
        <v>5.0999999999999997E-2</v>
      </c>
      <c r="D18" s="27"/>
      <c r="E18" s="36">
        <v>0.5</v>
      </c>
      <c r="F18" s="29">
        <f t="shared" si="0"/>
        <v>7.7684383885151406E-5</v>
      </c>
      <c r="G18" s="28">
        <v>0</v>
      </c>
      <c r="H18" s="29">
        <f t="shared" si="1"/>
        <v>0</v>
      </c>
      <c r="I18" s="29">
        <f t="shared" si="2"/>
        <v>0</v>
      </c>
    </row>
    <row r="19" spans="2:9" x14ac:dyDescent="0.25">
      <c r="B19" s="7" t="s">
        <v>21</v>
      </c>
      <c r="C19" s="27">
        <v>3.9E-2</v>
      </c>
      <c r="D19" s="27"/>
      <c r="E19" s="36">
        <v>0.5</v>
      </c>
      <c r="F19" s="29">
        <f t="shared" si="0"/>
        <v>7.7684383885151406E-5</v>
      </c>
      <c r="G19" s="28">
        <v>0</v>
      </c>
      <c r="H19" s="29">
        <f t="shared" si="1"/>
        <v>0</v>
      </c>
      <c r="I19" s="29">
        <f t="shared" si="2"/>
        <v>0</v>
      </c>
    </row>
    <row r="20" spans="2:9" x14ac:dyDescent="0.25">
      <c r="B20" s="7" t="s">
        <v>22</v>
      </c>
      <c r="C20" s="27">
        <v>2.5999999999999999E-2</v>
      </c>
      <c r="D20" s="27"/>
      <c r="E20" s="36">
        <v>0.1</v>
      </c>
      <c r="F20" s="29">
        <f t="shared" si="0"/>
        <v>1.5536876777030283E-5</v>
      </c>
      <c r="G20" s="28">
        <v>0</v>
      </c>
      <c r="H20" s="29">
        <f t="shared" si="1"/>
        <v>0</v>
      </c>
      <c r="I20" s="29">
        <f t="shared" si="2"/>
        <v>0</v>
      </c>
    </row>
    <row r="21" spans="2:9" x14ac:dyDescent="0.25">
      <c r="B21" s="7" t="s">
        <v>23</v>
      </c>
      <c r="C21" s="27">
        <v>2.3E-2</v>
      </c>
      <c r="D21" s="27"/>
      <c r="E21" s="36">
        <v>0.5</v>
      </c>
      <c r="F21" s="29">
        <f t="shared" si="0"/>
        <v>7.7684383885151406E-5</v>
      </c>
      <c r="G21" s="28">
        <v>0.02</v>
      </c>
      <c r="H21" s="29">
        <f t="shared" si="1"/>
        <v>5.8558294782455943E-5</v>
      </c>
      <c r="I21" s="29">
        <f t="shared" si="2"/>
        <v>0.04</v>
      </c>
    </row>
    <row r="22" spans="2:9" x14ac:dyDescent="0.25">
      <c r="B22" s="7" t="s">
        <v>24</v>
      </c>
      <c r="C22" s="27">
        <v>0.01</v>
      </c>
      <c r="D22" s="27">
        <v>1E-3</v>
      </c>
      <c r="E22" s="36">
        <v>0.2</v>
      </c>
      <c r="F22" s="29">
        <f t="shared" si="0"/>
        <v>3.1073753554060567E-5</v>
      </c>
      <c r="G22" s="30">
        <v>0.02</v>
      </c>
      <c r="H22" s="29">
        <f t="shared" si="1"/>
        <v>5.8558294782455943E-5</v>
      </c>
      <c r="I22" s="29">
        <f t="shared" si="2"/>
        <v>9.9999999999999992E-2</v>
      </c>
    </row>
    <row r="23" spans="2:9" x14ac:dyDescent="0.25">
      <c r="B23" s="7" t="s">
        <v>25</v>
      </c>
      <c r="C23" s="27">
        <v>8.0000000000000002E-3</v>
      </c>
      <c r="D23" s="27">
        <v>1E-3</v>
      </c>
      <c r="E23" s="36">
        <v>0.5</v>
      </c>
      <c r="F23" s="29">
        <f t="shared" si="0"/>
        <v>7.7684383885151406E-5</v>
      </c>
      <c r="G23" s="30">
        <v>0.1</v>
      </c>
      <c r="H23" s="29">
        <f t="shared" si="1"/>
        <v>2.9279147391227974E-4</v>
      </c>
      <c r="I23" s="29">
        <f t="shared" si="2"/>
        <v>0.2</v>
      </c>
    </row>
    <row r="24" spans="2:9" x14ac:dyDescent="0.25">
      <c r="B24" s="7" t="s">
        <v>26</v>
      </c>
      <c r="C24" s="27"/>
      <c r="D24" s="27">
        <v>1.7000000000000001E-2</v>
      </c>
      <c r="E24" s="36">
        <v>662</v>
      </c>
      <c r="F24" s="29">
        <f t="shared" si="0"/>
        <v>0.10285412426394046</v>
      </c>
      <c r="G24" s="28">
        <v>12.9</v>
      </c>
      <c r="H24" s="29">
        <f t="shared" si="1"/>
        <v>3.7770100134684084E-2</v>
      </c>
      <c r="I24" s="29">
        <f t="shared" si="2"/>
        <v>1.948640483383686E-2</v>
      </c>
    </row>
    <row r="25" spans="2:9" ht="15.75" thickBot="1" x14ac:dyDescent="0.3">
      <c r="B25" s="7" t="s">
        <v>27</v>
      </c>
      <c r="C25" s="27"/>
      <c r="D25" s="27">
        <v>2.5000000000000001E-2</v>
      </c>
      <c r="E25" s="36">
        <v>77</v>
      </c>
      <c r="F25" s="29">
        <f t="shared" si="0"/>
        <v>1.1963395118313316E-2</v>
      </c>
      <c r="G25" s="28">
        <v>5</v>
      </c>
      <c r="H25" s="29">
        <f t="shared" si="1"/>
        <v>1.4639573695613986E-2</v>
      </c>
      <c r="I25" s="29">
        <f t="shared" si="2"/>
        <v>6.4935064935064929E-2</v>
      </c>
    </row>
    <row r="26" spans="2:9" ht="15.75" thickBot="1" x14ac:dyDescent="0.3">
      <c r="B26" s="19" t="s">
        <v>29</v>
      </c>
      <c r="C26" s="31"/>
      <c r="D26" s="31"/>
      <c r="E26" s="37">
        <f>SUM(E4:E25)</f>
        <v>6436.3</v>
      </c>
      <c r="F26" s="38">
        <f>SUM(F4:F25)</f>
        <v>1</v>
      </c>
      <c r="G26" s="32">
        <f>SUM(G4:G25)</f>
        <v>341.53999999999996</v>
      </c>
      <c r="H26" s="38">
        <f>SUM(H4:H25)</f>
        <v>0.99999999999999978</v>
      </c>
      <c r="I26" s="33">
        <f>G26/E26</f>
        <v>5.3064648944269217E-2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19C2-2A2F-476D-89BF-386A66E72810}">
  <dimension ref="B2:J26"/>
  <sheetViews>
    <sheetView tabSelected="1" workbookViewId="0">
      <selection activeCell="B16" sqref="B16"/>
    </sheetView>
  </sheetViews>
  <sheetFormatPr defaultColWidth="11.5703125" defaultRowHeight="15" x14ac:dyDescent="0.25"/>
  <cols>
    <col min="1" max="1" width="11.5703125" style="1"/>
    <col min="2" max="2" width="13.140625" style="1" customWidth="1"/>
    <col min="3" max="4" width="11.5703125" style="20"/>
    <col min="5" max="5" width="11.5703125" style="34"/>
    <col min="6" max="6" width="11.5703125" style="20"/>
    <col min="7" max="7" width="11.5703125" style="21"/>
    <col min="8" max="8" width="11.5703125" style="20"/>
    <col min="9" max="9" width="11.5703125" style="22"/>
    <col min="10" max="10" width="11.5703125" style="20"/>
    <col min="11" max="16384" width="11.5703125" style="1"/>
  </cols>
  <sheetData>
    <row r="2" spans="2:10" ht="15.75" thickBot="1" x14ac:dyDescent="0.3">
      <c r="C2" s="57" t="s">
        <v>40</v>
      </c>
      <c r="D2" s="58"/>
      <c r="E2" s="59" t="s">
        <v>41</v>
      </c>
      <c r="F2" s="58"/>
      <c r="G2" s="59" t="s">
        <v>42</v>
      </c>
      <c r="H2" s="58"/>
      <c r="I2" s="22" t="s">
        <v>30</v>
      </c>
      <c r="J2" s="20" t="s">
        <v>47</v>
      </c>
    </row>
    <row r="3" spans="2:10" ht="15.75" thickBot="1" x14ac:dyDescent="0.3">
      <c r="B3" s="18" t="s">
        <v>28</v>
      </c>
      <c r="C3" s="23" t="s">
        <v>0</v>
      </c>
      <c r="D3" s="23" t="s">
        <v>1</v>
      </c>
      <c r="E3" s="35" t="s">
        <v>44</v>
      </c>
      <c r="F3" s="25" t="s">
        <v>43</v>
      </c>
      <c r="G3" s="24" t="s">
        <v>44</v>
      </c>
      <c r="H3" s="25" t="s">
        <v>43</v>
      </c>
      <c r="I3" s="26" t="s">
        <v>45</v>
      </c>
      <c r="J3" s="52" t="s">
        <v>46</v>
      </c>
    </row>
    <row r="4" spans="2:10" x14ac:dyDescent="0.25">
      <c r="B4" s="7" t="s">
        <v>27</v>
      </c>
      <c r="C4" s="27"/>
      <c r="D4" s="27">
        <v>2.5000000000000001E-2</v>
      </c>
      <c r="E4" s="36">
        <v>77</v>
      </c>
      <c r="F4" s="29">
        <f>E4/$E$26</f>
        <v>1.1963395118313316E-2</v>
      </c>
      <c r="G4" s="28">
        <v>5</v>
      </c>
      <c r="H4" s="29">
        <f>G4/$G$26</f>
        <v>1.4639573695613983E-2</v>
      </c>
      <c r="I4" s="29">
        <f>G4/E4</f>
        <v>6.4935064935064929E-2</v>
      </c>
      <c r="J4" s="53">
        <v>1.2050677130398396E-2</v>
      </c>
    </row>
    <row r="5" spans="2:10" x14ac:dyDescent="0.25">
      <c r="B5" s="7" t="s">
        <v>9</v>
      </c>
      <c r="C5" s="27">
        <v>0.65600000000000003</v>
      </c>
      <c r="D5" s="27">
        <v>5.1999999999999998E-2</v>
      </c>
      <c r="E5" s="36">
        <v>120</v>
      </c>
      <c r="F5" s="29">
        <f>E5/$E$26</f>
        <v>1.8644252132436336E-2</v>
      </c>
      <c r="G5" s="28">
        <v>9.6</v>
      </c>
      <c r="H5" s="29">
        <f>G5/$G$26</f>
        <v>2.8107981495578846E-2</v>
      </c>
      <c r="I5" s="29">
        <f>G5/E5</f>
        <v>0.08</v>
      </c>
      <c r="J5" s="54">
        <v>1.1122768926598218E-2</v>
      </c>
    </row>
    <row r="6" spans="2:10" x14ac:dyDescent="0.25">
      <c r="B6" s="7" t="s">
        <v>15</v>
      </c>
      <c r="C6" s="27">
        <v>0.36899999999999999</v>
      </c>
      <c r="D6" s="27">
        <v>3.0000000000000001E-3</v>
      </c>
      <c r="E6" s="36">
        <v>1</v>
      </c>
      <c r="F6" s="29">
        <f>E6/$E$26</f>
        <v>1.5536876777030281E-4</v>
      </c>
      <c r="G6" s="28">
        <v>0</v>
      </c>
      <c r="H6" s="29">
        <f>G6/$G$26</f>
        <v>0</v>
      </c>
      <c r="I6" s="29">
        <f>G6/E6</f>
        <v>0</v>
      </c>
      <c r="J6" s="54">
        <v>1.6981326605493462E-4</v>
      </c>
    </row>
    <row r="7" spans="2:10" x14ac:dyDescent="0.25">
      <c r="B7" s="7" t="s">
        <v>14</v>
      </c>
      <c r="C7" s="27">
        <v>0.40300000000000002</v>
      </c>
      <c r="D7" s="27">
        <v>2.5000000000000001E-2</v>
      </c>
      <c r="E7" s="36">
        <v>114</v>
      </c>
      <c r="F7" s="29">
        <f>E7/$E$26</f>
        <v>1.7712039525814519E-2</v>
      </c>
      <c r="G7" s="28">
        <v>7.1</v>
      </c>
      <c r="H7" s="29">
        <f>G7/$G$26</f>
        <v>2.0788194647771853E-2</v>
      </c>
      <c r="I7" s="29">
        <f>G7/E7</f>
        <v>6.2280701754385964E-2</v>
      </c>
      <c r="J7" s="54">
        <v>1.7126880833540546E-2</v>
      </c>
    </row>
    <row r="8" spans="2:10" x14ac:dyDescent="0.25">
      <c r="B8" s="7" t="s">
        <v>8</v>
      </c>
      <c r="C8" s="27">
        <v>0.87</v>
      </c>
      <c r="D8" s="27">
        <v>0.104</v>
      </c>
      <c r="E8" s="36">
        <v>120</v>
      </c>
      <c r="F8" s="29">
        <f>E8/$E$26</f>
        <v>1.8644252132436336E-2</v>
      </c>
      <c r="G8" s="28">
        <v>14.4</v>
      </c>
      <c r="H8" s="29">
        <f>G8/$G$26</f>
        <v>4.2161972243368269E-2</v>
      </c>
      <c r="I8" s="29">
        <f>G8/E8</f>
        <v>0.12000000000000001</v>
      </c>
      <c r="J8" s="54">
        <v>8.3511738342016053E-3</v>
      </c>
    </row>
    <row r="9" spans="2:10" x14ac:dyDescent="0.25">
      <c r="B9" s="7" t="s">
        <v>12</v>
      </c>
      <c r="C9" s="27">
        <v>0.503</v>
      </c>
      <c r="D9" s="27">
        <v>3.4000000000000002E-2</v>
      </c>
      <c r="E9" s="36">
        <v>903</v>
      </c>
      <c r="F9" s="29">
        <f>E9/$E$26</f>
        <v>0.14029799729658343</v>
      </c>
      <c r="G9" s="28">
        <v>61.3</v>
      </c>
      <c r="H9" s="29">
        <f>G9/$G$26</f>
        <v>0.17948117350822743</v>
      </c>
      <c r="I9" s="29">
        <f>G9/E9</f>
        <v>6.7884828349944623E-2</v>
      </c>
      <c r="J9" s="54">
        <v>0.12714161819913034</v>
      </c>
    </row>
    <row r="10" spans="2:10" x14ac:dyDescent="0.25">
      <c r="B10" s="7" t="s">
        <v>19</v>
      </c>
      <c r="C10" s="27">
        <v>0.158</v>
      </c>
      <c r="D10" s="27">
        <v>2E-3</v>
      </c>
      <c r="E10" s="36">
        <v>410</v>
      </c>
      <c r="F10" s="29">
        <f>E10/$E$26</f>
        <v>6.3701194785824158E-2</v>
      </c>
      <c r="G10" s="28">
        <v>5</v>
      </c>
      <c r="H10" s="29">
        <f>G10/$G$26</f>
        <v>1.4639573695613983E-2</v>
      </c>
      <c r="I10" s="29">
        <f>G10/E10</f>
        <v>1.2195121951219513E-2</v>
      </c>
      <c r="J10" s="54">
        <v>0.15713791869583416</v>
      </c>
    </row>
    <row r="11" spans="2:10" x14ac:dyDescent="0.25">
      <c r="B11" s="7" t="s">
        <v>21</v>
      </c>
      <c r="C11" s="27">
        <v>3.9E-2</v>
      </c>
      <c r="D11" s="27"/>
      <c r="E11" s="36">
        <v>0.5</v>
      </c>
      <c r="F11" s="29">
        <f>E11/$E$26</f>
        <v>7.7684383885151406E-5</v>
      </c>
      <c r="G11" s="28">
        <v>0</v>
      </c>
      <c r="H11" s="29">
        <f>G11/$G$26</f>
        <v>0</v>
      </c>
      <c r="I11" s="29">
        <f>G11/E11</f>
        <v>0</v>
      </c>
      <c r="J11" s="54">
        <v>8.0054825425897747E-4</v>
      </c>
    </row>
    <row r="12" spans="2:10" x14ac:dyDescent="0.25">
      <c r="B12" s="7" t="s">
        <v>23</v>
      </c>
      <c r="C12" s="27">
        <v>2.3E-2</v>
      </c>
      <c r="D12" s="27"/>
      <c r="E12" s="36">
        <v>0.5</v>
      </c>
      <c r="F12" s="29">
        <f>E12/$E$26</f>
        <v>7.7684383885151406E-5</v>
      </c>
      <c r="G12" s="28">
        <v>0.02</v>
      </c>
      <c r="H12" s="29">
        <f>G12/$G$26</f>
        <v>5.855829478245593E-5</v>
      </c>
      <c r="I12" s="29">
        <f>G12/E12</f>
        <v>0.04</v>
      </c>
      <c r="J12" s="54">
        <v>1.4070242044551726E-3</v>
      </c>
    </row>
    <row r="13" spans="2:10" x14ac:dyDescent="0.25">
      <c r="B13" s="7" t="s">
        <v>16</v>
      </c>
      <c r="C13" s="27">
        <v>0.36099999999999999</v>
      </c>
      <c r="D13" s="27">
        <v>8.9999999999999993E-3</v>
      </c>
      <c r="E13" s="36">
        <v>1015</v>
      </c>
      <c r="F13" s="29">
        <f>E13/$E$26</f>
        <v>0.15769929928685736</v>
      </c>
      <c r="G13" s="28">
        <v>24.4</v>
      </c>
      <c r="H13" s="29">
        <f>G13/$G$26</f>
        <v>7.1441119634596234E-2</v>
      </c>
      <c r="I13" s="29">
        <f>G13/E13</f>
        <v>2.4039408866995071E-2</v>
      </c>
      <c r="J13" s="54">
        <v>0.22152140556866221</v>
      </c>
    </row>
    <row r="14" spans="2:10" x14ac:dyDescent="0.25">
      <c r="B14" s="7" t="s">
        <v>18</v>
      </c>
      <c r="C14" s="27">
        <v>0.26100000000000001</v>
      </c>
      <c r="D14" s="27">
        <v>0.02</v>
      </c>
      <c r="E14" s="36">
        <v>89</v>
      </c>
      <c r="F14" s="29">
        <f>E14/$E$26</f>
        <v>1.382782033155695E-2</v>
      </c>
      <c r="G14" s="28">
        <v>6.9</v>
      </c>
      <c r="H14" s="29">
        <f>G14/$G$26</f>
        <v>2.0202611699947297E-2</v>
      </c>
      <c r="I14" s="29">
        <f>G14/E14</f>
        <v>7.7528089887640456E-2</v>
      </c>
      <c r="J14" s="54">
        <v>2.0656570863682406E-2</v>
      </c>
    </row>
    <row r="15" spans="2:10" x14ac:dyDescent="0.25">
      <c r="B15" s="7" t="s">
        <v>48</v>
      </c>
      <c r="C15" s="27">
        <v>0.55800000000000005</v>
      </c>
      <c r="D15" s="27">
        <v>0.03</v>
      </c>
      <c r="E15" s="36">
        <v>39</v>
      </c>
      <c r="F15" s="29">
        <f>E15/$E$26</f>
        <v>6.0593819430418095E-3</v>
      </c>
      <c r="G15" s="28">
        <v>2.1</v>
      </c>
      <c r="H15" s="29">
        <f>G15/$G$26</f>
        <v>6.148620952157873E-3</v>
      </c>
      <c r="I15" s="29">
        <f>G15/E15</f>
        <v>5.3846153846153849E-2</v>
      </c>
      <c r="J15" s="54">
        <v>4.251396410875327E-3</v>
      </c>
    </row>
    <row r="16" spans="2:10" x14ac:dyDescent="0.25">
      <c r="B16" s="7" t="s">
        <v>11</v>
      </c>
      <c r="C16" s="27">
        <v>0.53800000000000003</v>
      </c>
      <c r="D16" s="27">
        <v>4.2999999999999997E-2</v>
      </c>
      <c r="E16" s="36">
        <v>2194</v>
      </c>
      <c r="F16" s="29">
        <f>E16/$E$26</f>
        <v>0.34087907648804439</v>
      </c>
      <c r="G16" s="30">
        <v>175.4</v>
      </c>
      <c r="H16" s="29">
        <f>G16/$G$26</f>
        <v>0.5135562452421385</v>
      </c>
      <c r="I16" s="29">
        <f>G16/E16</f>
        <v>7.9945305378304465E-2</v>
      </c>
      <c r="J16" s="54">
        <v>0.30496643155615671</v>
      </c>
    </row>
    <row r="17" spans="2:10" x14ac:dyDescent="0.25">
      <c r="B17" s="7" t="s">
        <v>24</v>
      </c>
      <c r="C17" s="27">
        <v>0.01</v>
      </c>
      <c r="D17" s="27">
        <v>1E-3</v>
      </c>
      <c r="E17" s="36">
        <v>0.2</v>
      </c>
      <c r="F17" s="29">
        <f>E17/$E$26</f>
        <v>3.1073753554060567E-5</v>
      </c>
      <c r="G17" s="30">
        <v>0.02</v>
      </c>
      <c r="H17" s="29">
        <f>G17/$G$26</f>
        <v>5.855829478245593E-5</v>
      </c>
      <c r="I17" s="29">
        <f>G17/E17</f>
        <v>9.9999999999999992E-2</v>
      </c>
      <c r="J17" s="54">
        <v>1.2008223813884662E-3</v>
      </c>
    </row>
    <row r="18" spans="2:10" x14ac:dyDescent="0.25">
      <c r="B18" s="7" t="s">
        <v>26</v>
      </c>
      <c r="C18" s="27"/>
      <c r="D18" s="27">
        <v>1.7000000000000001E-2</v>
      </c>
      <c r="E18" s="36">
        <v>662</v>
      </c>
      <c r="F18" s="29">
        <f>E18/$E$26</f>
        <v>0.10285412426394046</v>
      </c>
      <c r="G18" s="28">
        <v>12.9</v>
      </c>
      <c r="H18" s="29">
        <f>G18/$G$26</f>
        <v>3.7770100134684077E-2</v>
      </c>
      <c r="I18" s="29">
        <f>G18/E18</f>
        <v>1.948640483383686E-2</v>
      </c>
      <c r="J18" s="54">
        <v>4.6880590950165876E-2</v>
      </c>
    </row>
    <row r="19" spans="2:10" x14ac:dyDescent="0.25">
      <c r="B19" s="7" t="s">
        <v>10</v>
      </c>
      <c r="C19" s="27">
        <v>0.65200000000000002</v>
      </c>
      <c r="D19" s="27">
        <v>4.2999999999999997E-2</v>
      </c>
      <c r="E19" s="36">
        <v>103</v>
      </c>
      <c r="F19" s="29">
        <f>E19/$E$26</f>
        <v>1.600298308034119E-2</v>
      </c>
      <c r="G19" s="30">
        <v>6.7</v>
      </c>
      <c r="H19" s="29">
        <f>G19/$G$26</f>
        <v>1.9617028752122737E-2</v>
      </c>
      <c r="I19" s="29">
        <f>G19/E19</f>
        <v>6.5048543689320393E-2</v>
      </c>
      <c r="J19" s="54">
        <v>9.576255253597921E-3</v>
      </c>
    </row>
    <row r="20" spans="2:10" x14ac:dyDescent="0.25">
      <c r="B20" s="7" t="s">
        <v>25</v>
      </c>
      <c r="C20" s="27">
        <v>8.0000000000000002E-3</v>
      </c>
      <c r="D20" s="27">
        <v>1E-3</v>
      </c>
      <c r="E20" s="36">
        <v>0.5</v>
      </c>
      <c r="F20" s="29">
        <f>E20/$E$26</f>
        <v>7.7684383885151406E-5</v>
      </c>
      <c r="G20" s="30">
        <v>0.1</v>
      </c>
      <c r="H20" s="29">
        <f>G20/$G$26</f>
        <v>2.9279147391227968E-4</v>
      </c>
      <c r="I20" s="29">
        <f>G20/E20</f>
        <v>0.2</v>
      </c>
      <c r="J20" s="54">
        <v>3.4508481566163499E-3</v>
      </c>
    </row>
    <row r="21" spans="2:10" x14ac:dyDescent="0.25">
      <c r="B21" s="7" t="s">
        <v>13</v>
      </c>
      <c r="C21" s="27">
        <v>0.47699999999999998</v>
      </c>
      <c r="D21" s="27">
        <v>3.0000000000000001E-3</v>
      </c>
      <c r="E21" s="36">
        <v>14</v>
      </c>
      <c r="F21" s="29">
        <f>E21/$E$26</f>
        <v>2.1751627487842395E-3</v>
      </c>
      <c r="G21" s="28">
        <v>0.1</v>
      </c>
      <c r="H21" s="29">
        <f>G21/$G$26</f>
        <v>2.9279147391227968E-4</v>
      </c>
      <c r="I21" s="29">
        <f>G21/E21</f>
        <v>7.1428571428571435E-3</v>
      </c>
      <c r="J21" s="54">
        <v>1.7830392935768134E-3</v>
      </c>
    </row>
    <row r="22" spans="2:10" x14ac:dyDescent="0.25">
      <c r="B22" s="7" t="s">
        <v>20</v>
      </c>
      <c r="C22" s="27">
        <v>5.0999999999999997E-2</v>
      </c>
      <c r="D22" s="27"/>
      <c r="E22" s="36">
        <v>0.5</v>
      </c>
      <c r="F22" s="29">
        <f>E22/$E$26</f>
        <v>7.7684383885151406E-5</v>
      </c>
      <c r="G22" s="28">
        <v>0</v>
      </c>
      <c r="H22" s="29">
        <f>G22/$G$26</f>
        <v>0</v>
      </c>
      <c r="I22" s="29">
        <f>G22/E22</f>
        <v>0</v>
      </c>
      <c r="J22" s="54">
        <v>5.3369883617265172E-4</v>
      </c>
    </row>
    <row r="23" spans="2:10" x14ac:dyDescent="0.25">
      <c r="B23" s="7" t="s">
        <v>22</v>
      </c>
      <c r="C23" s="27">
        <v>2.5999999999999999E-2</v>
      </c>
      <c r="D23" s="27"/>
      <c r="E23" s="36">
        <v>0.1</v>
      </c>
      <c r="F23" s="29">
        <f>E23/$E$26</f>
        <v>1.5536876777030283E-5</v>
      </c>
      <c r="G23" s="28">
        <v>0</v>
      </c>
      <c r="H23" s="29">
        <f>G23/$G$26</f>
        <v>0</v>
      </c>
      <c r="I23" s="29">
        <f>G23/E23</f>
        <v>0</v>
      </c>
      <c r="J23" s="54">
        <v>2.6684941808632586E-4</v>
      </c>
    </row>
    <row r="24" spans="2:10" x14ac:dyDescent="0.25">
      <c r="B24" s="7" t="s">
        <v>17</v>
      </c>
      <c r="C24" s="27">
        <v>0.311</v>
      </c>
      <c r="D24" s="27">
        <v>8.0000000000000002E-3</v>
      </c>
      <c r="E24" s="36">
        <v>100</v>
      </c>
      <c r="F24" s="29">
        <f>E24/$E$26</f>
        <v>1.553687677703028E-2</v>
      </c>
      <c r="G24" s="28">
        <v>2.7</v>
      </c>
      <c r="H24" s="29">
        <f>G24/$G$26</f>
        <v>7.9053697956315509E-3</v>
      </c>
      <c r="I24" s="29">
        <f>G24/E24</f>
        <v>2.7000000000000003E-2</v>
      </c>
      <c r="J24" s="54">
        <v>1.9570978912831216E-2</v>
      </c>
    </row>
    <row r="25" spans="2:10" ht="15.75" thickBot="1" x14ac:dyDescent="0.3">
      <c r="B25" s="7" t="s">
        <v>7</v>
      </c>
      <c r="C25" s="27">
        <v>0.95599999999999996</v>
      </c>
      <c r="D25" s="27">
        <v>1.6E-2</v>
      </c>
      <c r="E25" s="36">
        <v>473</v>
      </c>
      <c r="F25" s="29">
        <f>E25/$E$26</f>
        <v>7.3489427155353226E-2</v>
      </c>
      <c r="G25" s="28">
        <v>7.8</v>
      </c>
      <c r="H25" s="29">
        <f>G25/$G$26</f>
        <v>2.2837734965157813E-2</v>
      </c>
      <c r="I25" s="29">
        <f>G25/E25</f>
        <v>1.6490486257928118E-2</v>
      </c>
      <c r="J25" s="55">
        <v>3.0032689053715578E-2</v>
      </c>
    </row>
    <row r="26" spans="2:10" ht="15.75" thickBot="1" x14ac:dyDescent="0.3">
      <c r="B26" s="19" t="s">
        <v>29</v>
      </c>
      <c r="C26" s="31"/>
      <c r="D26" s="31"/>
      <c r="E26" s="37">
        <f>SUM(E4:E25)</f>
        <v>6436.3</v>
      </c>
      <c r="F26" s="38">
        <f>SUM(F4:F25)</f>
        <v>1</v>
      </c>
      <c r="G26" s="32">
        <f>SUM(G4:G25)</f>
        <v>341.54</v>
      </c>
      <c r="H26" s="38">
        <f>SUM(H4:H25)</f>
        <v>0.99999999999999978</v>
      </c>
      <c r="I26" s="33">
        <f>G26/E26</f>
        <v>5.3064648944269224E-2</v>
      </c>
      <c r="J26" s="56">
        <f>SUM(J4:J25)</f>
        <v>1</v>
      </c>
    </row>
  </sheetData>
  <sortState xmlns:xlrd2="http://schemas.microsoft.com/office/spreadsheetml/2017/richdata2" ref="B4:I26">
    <sortCondition ref="B3:B26"/>
  </sortState>
  <mergeCells count="3">
    <mergeCell ref="C2:D2"/>
    <mergeCell ref="E2:F2"/>
    <mergeCell ref="G2:H2"/>
  </mergeCells>
  <pageMargins left="0.7" right="0.7" top="0.75" bottom="0.75" header="0.3" footer="0.3"/>
  <pageSetup paperSize="9" orientation="portrait" verticalDpi="0" r:id="rId1"/>
  <ignoredErrors>
    <ignoredError sqref="I2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2912-7ED8-4EEE-8E13-44FFB5993209}">
  <dimension ref="B2:I32"/>
  <sheetViews>
    <sheetView workbookViewId="0">
      <selection activeCell="B18" sqref="B18"/>
    </sheetView>
  </sheetViews>
  <sheetFormatPr defaultRowHeight="15" x14ac:dyDescent="0.25"/>
  <cols>
    <col min="1" max="1" width="9.140625" style="1"/>
    <col min="2" max="2" width="29.42578125" style="1" customWidth="1"/>
    <col min="3" max="5" width="9.140625" style="21"/>
    <col min="6" max="6" width="29.42578125" style="1" customWidth="1"/>
    <col min="7" max="8" width="9.140625" style="21"/>
    <col min="9" max="16384" width="9.140625" style="1"/>
  </cols>
  <sheetData>
    <row r="2" spans="2:9" ht="15.75" thickBot="1" x14ac:dyDescent="0.3"/>
    <row r="3" spans="2:9" ht="15.75" thickBot="1" x14ac:dyDescent="0.3">
      <c r="B3" s="39" t="s">
        <v>31</v>
      </c>
      <c r="C3" s="40">
        <v>19090.3</v>
      </c>
      <c r="D3" s="41">
        <f>SUM(D4:D32)</f>
        <v>1</v>
      </c>
      <c r="F3" s="39" t="s">
        <v>31</v>
      </c>
      <c r="G3" s="40">
        <v>19090.3</v>
      </c>
      <c r="H3" s="41">
        <f>SUM(H4:H25)</f>
        <v>0.86372136634835495</v>
      </c>
    </row>
    <row r="4" spans="2:9" x14ac:dyDescent="0.25">
      <c r="B4" s="7" t="s">
        <v>27</v>
      </c>
      <c r="C4" s="42">
        <v>198.7</v>
      </c>
      <c r="D4" s="29">
        <f>C4/$C$3</f>
        <v>1.0408427316490573E-2</v>
      </c>
      <c r="F4" s="7" t="s">
        <v>27</v>
      </c>
      <c r="G4" s="42">
        <v>198.7</v>
      </c>
      <c r="H4" s="29">
        <f>G4/$C$3</f>
        <v>1.0408427316490573E-2</v>
      </c>
      <c r="I4" s="17">
        <f>G4/$G$26</f>
        <v>1.2050677130398396E-2</v>
      </c>
    </row>
    <row r="5" spans="2:9" x14ac:dyDescent="0.25">
      <c r="B5" s="7" t="s">
        <v>9</v>
      </c>
      <c r="C5" s="42">
        <v>183.4</v>
      </c>
      <c r="D5" s="29">
        <f t="shared" ref="D5:D32" si="0">C5/$C$3</f>
        <v>9.6069731748584363E-3</v>
      </c>
      <c r="F5" s="7" t="s">
        <v>9</v>
      </c>
      <c r="G5" s="42">
        <v>183.4</v>
      </c>
      <c r="H5" s="29">
        <f t="shared" ref="H5:H25" si="1">G5/$C$3</f>
        <v>9.6069731748584363E-3</v>
      </c>
      <c r="I5" s="17">
        <f t="shared" ref="I5:I29" si="2">G5/$G$26</f>
        <v>1.1122768926598218E-2</v>
      </c>
    </row>
    <row r="6" spans="2:9" x14ac:dyDescent="0.25">
      <c r="B6" s="46" t="s">
        <v>37</v>
      </c>
      <c r="C6" s="47">
        <v>1.3</v>
      </c>
      <c r="D6" s="48">
        <f t="shared" si="0"/>
        <v>6.809741072691367E-5</v>
      </c>
      <c r="F6" s="7" t="s">
        <v>15</v>
      </c>
      <c r="G6" s="42">
        <v>2.8</v>
      </c>
      <c r="H6" s="29">
        <f t="shared" si="1"/>
        <v>1.4667134618104481E-4</v>
      </c>
      <c r="I6" s="17">
        <f t="shared" si="2"/>
        <v>1.6981326605493462E-4</v>
      </c>
    </row>
    <row r="7" spans="2:9" x14ac:dyDescent="0.25">
      <c r="B7" s="7" t="s">
        <v>15</v>
      </c>
      <c r="C7" s="42">
        <v>2.8</v>
      </c>
      <c r="D7" s="29">
        <f t="shared" si="0"/>
        <v>1.4667134618104481E-4</v>
      </c>
      <c r="F7" s="7" t="s">
        <v>14</v>
      </c>
      <c r="G7" s="42">
        <v>282.39999999999998</v>
      </c>
      <c r="H7" s="29">
        <f t="shared" si="1"/>
        <v>1.4792852914831092E-2</v>
      </c>
      <c r="I7" s="17">
        <f t="shared" si="2"/>
        <v>1.7126880833540546E-2</v>
      </c>
    </row>
    <row r="8" spans="2:9" x14ac:dyDescent="0.25">
      <c r="B8" s="46" t="s">
        <v>36</v>
      </c>
      <c r="C8" s="47">
        <v>7.4</v>
      </c>
      <c r="D8" s="48">
        <f t="shared" si="0"/>
        <v>3.8763141490704708E-4</v>
      </c>
      <c r="F8" s="7" t="s">
        <v>8</v>
      </c>
      <c r="G8" s="42">
        <v>137.69999999999999</v>
      </c>
      <c r="H8" s="29">
        <f t="shared" si="1"/>
        <v>7.2130872746892401E-3</v>
      </c>
      <c r="I8" s="17">
        <f t="shared" si="2"/>
        <v>8.3511738342016053E-3</v>
      </c>
    </row>
    <row r="9" spans="2:9" x14ac:dyDescent="0.25">
      <c r="B9" s="46" t="s">
        <v>39</v>
      </c>
      <c r="C9" s="47">
        <v>21.3</v>
      </c>
      <c r="D9" s="48">
        <f t="shared" si="0"/>
        <v>1.1157498834486624E-3</v>
      </c>
      <c r="F9" s="7" t="s">
        <v>12</v>
      </c>
      <c r="G9" s="42">
        <v>2096.4</v>
      </c>
      <c r="H9" s="29">
        <f t="shared" si="1"/>
        <v>0.10981493219069371</v>
      </c>
      <c r="I9" s="17">
        <f t="shared" si="2"/>
        <v>0.12714161819913034</v>
      </c>
    </row>
    <row r="10" spans="2:9" x14ac:dyDescent="0.25">
      <c r="B10" s="7" t="s">
        <v>14</v>
      </c>
      <c r="C10" s="42">
        <v>282.39999999999998</v>
      </c>
      <c r="D10" s="29">
        <f t="shared" si="0"/>
        <v>1.4792852914831092E-2</v>
      </c>
      <c r="F10" s="7" t="s">
        <v>19</v>
      </c>
      <c r="G10" s="42">
        <v>2591</v>
      </c>
      <c r="H10" s="29">
        <f t="shared" si="1"/>
        <v>0.13572337784110255</v>
      </c>
      <c r="I10" s="17">
        <f t="shared" si="2"/>
        <v>0.15713791869583416</v>
      </c>
    </row>
    <row r="11" spans="2:9" x14ac:dyDescent="0.25">
      <c r="B11" s="7" t="s">
        <v>8</v>
      </c>
      <c r="C11" s="42">
        <v>137.69999999999999</v>
      </c>
      <c r="D11" s="29">
        <f t="shared" si="0"/>
        <v>7.2130872746892401E-3</v>
      </c>
      <c r="F11" s="7" t="s">
        <v>21</v>
      </c>
      <c r="G11" s="42">
        <v>13.2</v>
      </c>
      <c r="H11" s="29">
        <f t="shared" si="1"/>
        <v>6.9145063199635415E-4</v>
      </c>
      <c r="I11" s="17">
        <f t="shared" si="2"/>
        <v>8.0054825425897747E-4</v>
      </c>
    </row>
    <row r="12" spans="2:9" x14ac:dyDescent="0.25">
      <c r="B12" s="7" t="s">
        <v>12</v>
      </c>
      <c r="C12" s="42">
        <v>2096.4</v>
      </c>
      <c r="D12" s="29">
        <f t="shared" si="0"/>
        <v>0.10981493219069371</v>
      </c>
      <c r="F12" s="7" t="s">
        <v>23</v>
      </c>
      <c r="G12" s="42">
        <v>23.2</v>
      </c>
      <c r="H12" s="29">
        <f t="shared" si="1"/>
        <v>1.2152768683572285E-3</v>
      </c>
      <c r="I12" s="17">
        <f t="shared" si="2"/>
        <v>1.4070242044551726E-3</v>
      </c>
    </row>
    <row r="13" spans="2:9" x14ac:dyDescent="0.25">
      <c r="B13" s="7" t="s">
        <v>19</v>
      </c>
      <c r="C13" s="42">
        <v>2591</v>
      </c>
      <c r="D13" s="29">
        <f t="shared" si="0"/>
        <v>0.13572337784110255</v>
      </c>
      <c r="F13" s="7" t="s">
        <v>16</v>
      </c>
      <c r="G13" s="42">
        <v>3652.6</v>
      </c>
      <c r="H13" s="29">
        <f t="shared" si="1"/>
        <v>0.19133277109317298</v>
      </c>
      <c r="I13" s="17">
        <f t="shared" si="2"/>
        <v>0.22152140556866221</v>
      </c>
    </row>
    <row r="14" spans="2:9" x14ac:dyDescent="0.25">
      <c r="B14" s="7" t="s">
        <v>21</v>
      </c>
      <c r="C14" s="42">
        <v>13.2</v>
      </c>
      <c r="D14" s="29">
        <f t="shared" si="0"/>
        <v>6.9145063199635415E-4</v>
      </c>
      <c r="F14" s="7" t="s">
        <v>18</v>
      </c>
      <c r="G14" s="42">
        <v>340.6</v>
      </c>
      <c r="H14" s="29">
        <f t="shared" si="1"/>
        <v>1.7841521610451383E-2</v>
      </c>
      <c r="I14" s="17">
        <f t="shared" si="2"/>
        <v>2.0656570863682406E-2</v>
      </c>
    </row>
    <row r="15" spans="2:9" x14ac:dyDescent="0.25">
      <c r="B15" s="7" t="s">
        <v>23</v>
      </c>
      <c r="C15" s="42">
        <v>23.2</v>
      </c>
      <c r="D15" s="29">
        <f t="shared" si="0"/>
        <v>1.2152768683572285E-3</v>
      </c>
      <c r="F15" s="7" t="s">
        <v>32</v>
      </c>
      <c r="G15" s="42">
        <v>70.099999999999994</v>
      </c>
      <c r="H15" s="29">
        <f t="shared" si="1"/>
        <v>3.6720219168897292E-3</v>
      </c>
      <c r="I15" s="17">
        <f t="shared" si="2"/>
        <v>4.251396410875327E-3</v>
      </c>
    </row>
    <row r="16" spans="2:9" x14ac:dyDescent="0.25">
      <c r="B16" s="7" t="s">
        <v>16</v>
      </c>
      <c r="C16" s="42">
        <v>3652.6</v>
      </c>
      <c r="D16" s="29">
        <f t="shared" si="0"/>
        <v>0.19133277109317298</v>
      </c>
      <c r="F16" s="7" t="s">
        <v>11</v>
      </c>
      <c r="G16" s="42">
        <v>5028.5</v>
      </c>
      <c r="H16" s="29">
        <f t="shared" si="1"/>
        <v>0.26340602295406568</v>
      </c>
      <c r="I16" s="17">
        <f t="shared" si="2"/>
        <v>0.30496643155615671</v>
      </c>
    </row>
    <row r="17" spans="2:9" x14ac:dyDescent="0.25">
      <c r="B17" s="7" t="s">
        <v>18</v>
      </c>
      <c r="C17" s="42">
        <v>340.6</v>
      </c>
      <c r="D17" s="29">
        <f t="shared" si="0"/>
        <v>1.7841521610451383E-2</v>
      </c>
      <c r="F17" s="7" t="s">
        <v>24</v>
      </c>
      <c r="G17" s="42">
        <v>19.8</v>
      </c>
      <c r="H17" s="29">
        <f t="shared" si="1"/>
        <v>1.0371759479945314E-3</v>
      </c>
      <c r="I17" s="17">
        <f t="shared" si="2"/>
        <v>1.2008223813884662E-3</v>
      </c>
    </row>
    <row r="18" spans="2:9" x14ac:dyDescent="0.25">
      <c r="B18" s="7" t="s">
        <v>32</v>
      </c>
      <c r="C18" s="42">
        <v>70.099999999999994</v>
      </c>
      <c r="D18" s="29">
        <f t="shared" si="0"/>
        <v>3.6720219168897292E-3</v>
      </c>
      <c r="F18" s="7" t="s">
        <v>26</v>
      </c>
      <c r="G18" s="42">
        <v>773</v>
      </c>
      <c r="H18" s="29">
        <f t="shared" si="1"/>
        <v>4.0491768070695593E-2</v>
      </c>
      <c r="I18" s="17">
        <f t="shared" si="2"/>
        <v>4.6880590950165876E-2</v>
      </c>
    </row>
    <row r="19" spans="2:9" x14ac:dyDescent="0.25">
      <c r="B19" s="7" t="s">
        <v>11</v>
      </c>
      <c r="C19" s="42">
        <v>5028.5</v>
      </c>
      <c r="D19" s="29">
        <f t="shared" si="0"/>
        <v>0.26340602295406568</v>
      </c>
      <c r="F19" s="7" t="s">
        <v>10</v>
      </c>
      <c r="G19" s="42">
        <v>157.9</v>
      </c>
      <c r="H19" s="29">
        <f t="shared" si="1"/>
        <v>8.2712162721382074E-3</v>
      </c>
      <c r="I19" s="17">
        <f t="shared" si="2"/>
        <v>9.576255253597921E-3</v>
      </c>
    </row>
    <row r="20" spans="2:9" x14ac:dyDescent="0.25">
      <c r="B20" s="7" t="s">
        <v>24</v>
      </c>
      <c r="C20" s="42">
        <v>19.8</v>
      </c>
      <c r="D20" s="29">
        <f t="shared" si="0"/>
        <v>1.0371759479945314E-3</v>
      </c>
      <c r="F20" s="7" t="s">
        <v>25</v>
      </c>
      <c r="G20" s="42">
        <v>56.9</v>
      </c>
      <c r="H20" s="29">
        <f t="shared" si="1"/>
        <v>2.9805712848933754E-3</v>
      </c>
      <c r="I20" s="17">
        <f t="shared" si="2"/>
        <v>3.4508481566163499E-3</v>
      </c>
    </row>
    <row r="21" spans="2:9" x14ac:dyDescent="0.25">
      <c r="B21" s="7" t="s">
        <v>26</v>
      </c>
      <c r="C21" s="42">
        <v>773</v>
      </c>
      <c r="D21" s="29">
        <f t="shared" si="0"/>
        <v>4.0491768070695593E-2</v>
      </c>
      <c r="F21" s="7" t="s">
        <v>13</v>
      </c>
      <c r="G21" s="42">
        <v>29.4</v>
      </c>
      <c r="H21" s="29">
        <f t="shared" si="1"/>
        <v>1.5400491349009705E-3</v>
      </c>
      <c r="I21" s="17">
        <f t="shared" si="2"/>
        <v>1.7830392935768134E-3</v>
      </c>
    </row>
    <row r="22" spans="2:9" x14ac:dyDescent="0.25">
      <c r="B22" s="7" t="s">
        <v>10</v>
      </c>
      <c r="C22" s="42">
        <v>157.9</v>
      </c>
      <c r="D22" s="29">
        <f t="shared" si="0"/>
        <v>8.2712162721382074E-3</v>
      </c>
      <c r="F22" s="7" t="s">
        <v>20</v>
      </c>
      <c r="G22" s="42">
        <v>8.8000000000000007</v>
      </c>
      <c r="H22" s="29">
        <f t="shared" si="1"/>
        <v>4.6096708799756952E-4</v>
      </c>
      <c r="I22" s="17">
        <f t="shared" si="2"/>
        <v>5.3369883617265172E-4</v>
      </c>
    </row>
    <row r="23" spans="2:9" x14ac:dyDescent="0.25">
      <c r="B23" s="7" t="s">
        <v>25</v>
      </c>
      <c r="C23" s="42">
        <v>56.9</v>
      </c>
      <c r="D23" s="29">
        <f t="shared" si="0"/>
        <v>2.9805712848933754E-3</v>
      </c>
      <c r="F23" s="7" t="s">
        <v>22</v>
      </c>
      <c r="G23" s="42">
        <v>4.4000000000000004</v>
      </c>
      <c r="H23" s="29">
        <f t="shared" si="1"/>
        <v>2.3048354399878476E-4</v>
      </c>
      <c r="I23" s="17">
        <f t="shared" si="2"/>
        <v>2.6684941808632586E-4</v>
      </c>
    </row>
    <row r="24" spans="2:9" x14ac:dyDescent="0.25">
      <c r="B24" s="7" t="s">
        <v>13</v>
      </c>
      <c r="C24" s="42">
        <v>29.4</v>
      </c>
      <c r="D24" s="29">
        <f t="shared" si="0"/>
        <v>1.5400491349009705E-3</v>
      </c>
      <c r="F24" s="7" t="s">
        <v>17</v>
      </c>
      <c r="G24" s="42">
        <v>322.7</v>
      </c>
      <c r="H24" s="29">
        <f t="shared" si="1"/>
        <v>1.6903872647365415E-2</v>
      </c>
      <c r="I24" s="17">
        <f t="shared" si="2"/>
        <v>1.9570978912831216E-2</v>
      </c>
    </row>
    <row r="25" spans="2:9" ht="15.75" thickBot="1" x14ac:dyDescent="0.3">
      <c r="B25" s="46" t="s">
        <v>35</v>
      </c>
      <c r="C25" s="47">
        <v>8.4</v>
      </c>
      <c r="D25" s="48">
        <f t="shared" si="0"/>
        <v>4.4001403854313452E-4</v>
      </c>
      <c r="F25" s="12" t="s">
        <v>7</v>
      </c>
      <c r="G25" s="43">
        <v>495.2</v>
      </c>
      <c r="H25" s="44">
        <f t="shared" si="1"/>
        <v>2.59398752245905E-2</v>
      </c>
      <c r="I25" s="17">
        <f t="shared" si="2"/>
        <v>3.0032689053715578E-2</v>
      </c>
    </row>
    <row r="26" spans="2:9" x14ac:dyDescent="0.25">
      <c r="B26" s="7" t="s">
        <v>20</v>
      </c>
      <c r="C26" s="42">
        <v>8.8000000000000007</v>
      </c>
      <c r="D26" s="29">
        <f t="shared" si="0"/>
        <v>4.6096708799756952E-4</v>
      </c>
      <c r="G26" s="21">
        <f>SUM(G4:G25)</f>
        <v>16488.699999999997</v>
      </c>
      <c r="H26" s="45">
        <f>D32+D30</f>
        <v>0.13174229844475993</v>
      </c>
    </row>
    <row r="27" spans="2:9" x14ac:dyDescent="0.25">
      <c r="B27" s="7" t="s">
        <v>22</v>
      </c>
      <c r="C27" s="42">
        <v>4.4000000000000004</v>
      </c>
      <c r="D27" s="29">
        <f t="shared" si="0"/>
        <v>2.3048354399878476E-4</v>
      </c>
      <c r="G27" s="20"/>
      <c r="H27" s="45">
        <f>H26+H3</f>
        <v>0.99546366479311488</v>
      </c>
    </row>
    <row r="28" spans="2:9" x14ac:dyDescent="0.25">
      <c r="B28" s="7" t="s">
        <v>17</v>
      </c>
      <c r="C28" s="42">
        <v>322.7</v>
      </c>
      <c r="D28" s="29">
        <f t="shared" si="0"/>
        <v>1.6903872647365415E-2</v>
      </c>
      <c r="G28" s="20"/>
      <c r="H28" s="22">
        <f>D6+D8+D9+D25+D31</f>
        <v>4.5363352068851729E-3</v>
      </c>
    </row>
    <row r="29" spans="2:9" x14ac:dyDescent="0.25">
      <c r="B29" s="7" t="s">
        <v>7</v>
      </c>
      <c r="C29" s="42">
        <v>495.2</v>
      </c>
      <c r="D29" s="29">
        <f t="shared" si="0"/>
        <v>2.59398752245905E-2</v>
      </c>
      <c r="H29" s="22">
        <f>H27+H28</f>
        <v>1</v>
      </c>
    </row>
    <row r="30" spans="2:9" x14ac:dyDescent="0.25">
      <c r="B30" s="46" t="s">
        <v>34</v>
      </c>
      <c r="C30" s="47">
        <v>756.6</v>
      </c>
      <c r="D30" s="48">
        <f t="shared" si="0"/>
        <v>3.9632693043063758E-2</v>
      </c>
    </row>
    <row r="31" spans="2:9" x14ac:dyDescent="0.25">
      <c r="B31" s="46" t="s">
        <v>33</v>
      </c>
      <c r="C31" s="47">
        <v>48.2</v>
      </c>
      <c r="D31" s="48">
        <f t="shared" si="0"/>
        <v>2.5248424592594146E-3</v>
      </c>
    </row>
    <row r="32" spans="2:9" ht="15.75" thickBot="1" x14ac:dyDescent="0.3">
      <c r="B32" s="49" t="s">
        <v>38</v>
      </c>
      <c r="C32" s="50">
        <v>1758.4</v>
      </c>
      <c r="D32" s="51">
        <f t="shared" si="0"/>
        <v>9.210960540169616E-2</v>
      </c>
    </row>
  </sheetData>
  <sortState xmlns:xlrd2="http://schemas.microsoft.com/office/spreadsheetml/2017/richdata2" ref="B4:D32">
    <sortCondition ref="B5:B3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SFDR</vt:lpstr>
      <vt:lpstr>Country (1)</vt:lpstr>
      <vt:lpstr>Country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Roncalli Thierry (AMUNDI)</cp:lastModifiedBy>
  <dcterms:created xsi:type="dcterms:W3CDTF">2015-06-05T18:19:34Z</dcterms:created>
  <dcterms:modified xsi:type="dcterms:W3CDTF">2024-04-19T15:37:01Z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2024-04-19T09:11:49Z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309ff07d-adf1-4659-9550-6fdbf59c9b5e</vt:lpwstr>
  </property>
  <property fmtid="{D5CDD505-2E9C-101B-9397-08002B2CF9AE}" pid="8" name="MSIP_Label_6ac45191-74e4-40a9-a4c5-ab5c9391e33a_ContentBits">
    <vt:lpwstr>0</vt:lpwstr>
  </property>
</Properties>
</file>