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2\22. Sustainable Finance\Matlab\11. Portfolio Optimization\Results\"/>
    </mc:Choice>
  </mc:AlternateContent>
  <bookViews>
    <workbookView xWindow="240" yWindow="15" windowWidth="16095" windowHeight="9660" firstSheet="7" activeTab="12"/>
  </bookViews>
  <sheets>
    <sheet name="SC1" sheetId="10" r:id="rId1"/>
    <sheet name="SC1_2" sheetId="11" r:id="rId2"/>
    <sheet name="SC1_2_3_up" sheetId="12" r:id="rId3"/>
    <sheet name="SC1_2_3" sheetId="13" r:id="rId4"/>
    <sheet name="sector_SC1" sheetId="5" r:id="rId5"/>
    <sheet name="sector_SC1_2" sheetId="6" r:id="rId6"/>
    <sheet name="sector_SC1_2_3_up" sheetId="7" r:id="rId7"/>
    <sheet name="sector_SC1_2_3" sheetId="8" r:id="rId8"/>
    <sheet name="GRS intensit" sheetId="9" r:id="rId9"/>
    <sheet name="CTB" sheetId="15" r:id="rId10"/>
    <sheet name="PAB" sheetId="16" r:id="rId11"/>
    <sheet name="TE GRS C0" sheetId="14" r:id="rId12"/>
    <sheet name="C3(0,10,2)" sheetId="17" r:id="rId13"/>
  </sheets>
  <externalReferences>
    <externalReference r:id="rId14"/>
    <externalReference r:id="rId15"/>
  </externalReferences>
  <calcPr calcId="162913"/>
</workbook>
</file>

<file path=xl/calcChain.xml><?xml version="1.0" encoding="utf-8"?>
<calcChain xmlns="http://schemas.openxmlformats.org/spreadsheetml/2006/main">
  <c r="K3" i="16" l="1"/>
  <c r="L3" i="16"/>
  <c r="M3" i="16"/>
  <c r="N3" i="16"/>
  <c r="K4" i="16"/>
  <c r="L4" i="16"/>
  <c r="N4" i="16"/>
  <c r="K5" i="16"/>
  <c r="L5" i="16"/>
  <c r="N5" i="16"/>
  <c r="K6" i="16"/>
  <c r="L6" i="16"/>
  <c r="N6" i="16"/>
  <c r="K7" i="16"/>
  <c r="L7" i="16"/>
  <c r="N7" i="16"/>
  <c r="K8" i="16"/>
  <c r="L8" i="16"/>
  <c r="K9" i="16"/>
  <c r="K10" i="16"/>
  <c r="F32" i="16"/>
  <c r="D32" i="16"/>
  <c r="C32" i="16"/>
  <c r="F31" i="16"/>
  <c r="D31" i="16"/>
  <c r="C31" i="16"/>
  <c r="F30" i="16"/>
  <c r="D30" i="16"/>
  <c r="C30" i="16"/>
  <c r="F29" i="16"/>
  <c r="E29" i="16"/>
  <c r="D29" i="16"/>
  <c r="C29" i="16"/>
  <c r="F28" i="16"/>
  <c r="E28" i="16"/>
  <c r="D28" i="16"/>
  <c r="C28" i="16"/>
  <c r="F27" i="16"/>
  <c r="E27" i="16"/>
  <c r="D27" i="16"/>
  <c r="C27" i="16"/>
  <c r="F26" i="16"/>
  <c r="E26" i="16"/>
  <c r="D26" i="16"/>
  <c r="C26" i="16"/>
  <c r="F25" i="16"/>
  <c r="E25" i="16"/>
  <c r="D25" i="16"/>
  <c r="C25" i="16"/>
  <c r="F24" i="16"/>
  <c r="E24" i="16"/>
  <c r="D24" i="16"/>
  <c r="C24" i="16"/>
  <c r="F23" i="16"/>
  <c r="E23" i="16"/>
  <c r="D23" i="16"/>
  <c r="C23" i="16"/>
  <c r="F22" i="16"/>
  <c r="E22" i="16"/>
  <c r="D22" i="16"/>
  <c r="C22" i="16"/>
  <c r="F21" i="16"/>
  <c r="E21" i="16"/>
  <c r="D21" i="16"/>
  <c r="C21" i="16"/>
  <c r="F20" i="16"/>
  <c r="E20" i="16"/>
  <c r="D20" i="16"/>
  <c r="C20" i="16"/>
  <c r="F19" i="16"/>
  <c r="E19" i="16"/>
  <c r="D19" i="16"/>
  <c r="C19" i="16"/>
  <c r="F18" i="16"/>
  <c r="E18" i="16"/>
  <c r="D18" i="16"/>
  <c r="C18" i="16"/>
  <c r="F17" i="16"/>
  <c r="E17" i="16"/>
  <c r="D17" i="16"/>
  <c r="C17" i="16"/>
  <c r="F16" i="16"/>
  <c r="E16" i="16"/>
  <c r="D16" i="16"/>
  <c r="C16" i="16"/>
  <c r="F15" i="16"/>
  <c r="E15" i="16"/>
  <c r="D15" i="16"/>
  <c r="C15" i="16"/>
  <c r="F14" i="16"/>
  <c r="E14" i="16"/>
  <c r="D14" i="16"/>
  <c r="C14" i="16"/>
  <c r="F13" i="16"/>
  <c r="E13" i="16"/>
  <c r="D13" i="16"/>
  <c r="C13" i="16"/>
  <c r="F12" i="16"/>
  <c r="E12" i="16"/>
  <c r="D12" i="16"/>
  <c r="C12" i="16"/>
  <c r="F11" i="16"/>
  <c r="E11" i="16"/>
  <c r="D11" i="16"/>
  <c r="C11" i="16"/>
  <c r="F10" i="16"/>
  <c r="E10" i="16"/>
  <c r="D10" i="16"/>
  <c r="C10" i="16"/>
  <c r="F9" i="16"/>
  <c r="E9" i="16"/>
  <c r="D9" i="16"/>
  <c r="C9" i="16"/>
  <c r="F8" i="16"/>
  <c r="E8" i="16"/>
  <c r="D8" i="16"/>
  <c r="C8" i="16"/>
  <c r="F7" i="16"/>
  <c r="E7" i="16"/>
  <c r="D7" i="16"/>
  <c r="C7" i="16"/>
  <c r="F6" i="16"/>
  <c r="E6" i="16"/>
  <c r="D6" i="16"/>
  <c r="C6" i="16"/>
  <c r="F5" i="16"/>
  <c r="E5" i="16"/>
  <c r="D5" i="16"/>
  <c r="C5" i="16"/>
  <c r="F4" i="16"/>
  <c r="E4" i="16"/>
  <c r="D4" i="16"/>
  <c r="C4" i="16"/>
  <c r="F3" i="16"/>
  <c r="E3" i="16"/>
  <c r="D3" i="16"/>
  <c r="C3" i="16"/>
  <c r="M15" i="9" l="1"/>
  <c r="N15" i="9"/>
  <c r="O15" i="9"/>
  <c r="P15" i="9"/>
  <c r="Q15" i="9"/>
  <c r="R15" i="9"/>
  <c r="M16" i="9"/>
  <c r="N16" i="9"/>
  <c r="O16" i="9"/>
  <c r="P16" i="9"/>
  <c r="Q16" i="9"/>
  <c r="R16" i="9"/>
  <c r="M17" i="9"/>
  <c r="N17" i="9"/>
  <c r="O17" i="9"/>
  <c r="P17" i="9"/>
  <c r="Q17" i="9"/>
  <c r="R17" i="9"/>
  <c r="M18" i="9"/>
  <c r="N18" i="9"/>
  <c r="O18" i="9"/>
  <c r="P18" i="9"/>
  <c r="Q18" i="9"/>
  <c r="R18" i="9"/>
  <c r="L16" i="9"/>
  <c r="L17" i="9"/>
  <c r="L18" i="9"/>
  <c r="L15" i="9"/>
  <c r="M2" i="9" l="1"/>
  <c r="N2" i="9"/>
  <c r="O2" i="9"/>
  <c r="P2" i="9"/>
  <c r="Q2" i="9"/>
  <c r="R2" i="9"/>
  <c r="M3" i="9"/>
  <c r="N3" i="9"/>
  <c r="O3" i="9"/>
  <c r="P3" i="9"/>
  <c r="Q3" i="9"/>
  <c r="R3" i="9"/>
  <c r="M4" i="9"/>
  <c r="N4" i="9"/>
  <c r="O4" i="9"/>
  <c r="P4" i="9"/>
  <c r="Q4" i="9"/>
  <c r="R4" i="9"/>
  <c r="M5" i="9"/>
  <c r="N5" i="9"/>
  <c r="O5" i="9"/>
  <c r="P5" i="9"/>
  <c r="Q5" i="9"/>
  <c r="R5" i="9"/>
  <c r="L3" i="9"/>
  <c r="L4" i="9"/>
  <c r="L5" i="9"/>
  <c r="L2" i="9"/>
  <c r="N3" i="8" l="1"/>
  <c r="O3" i="8"/>
  <c r="P3" i="8"/>
  <c r="Q3" i="8"/>
  <c r="R3" i="8"/>
  <c r="S3" i="8"/>
  <c r="T3" i="8"/>
  <c r="U3" i="8"/>
  <c r="N4" i="8"/>
  <c r="O4" i="8"/>
  <c r="P4" i="8"/>
  <c r="Q4" i="8"/>
  <c r="R4" i="8"/>
  <c r="S4" i="8"/>
  <c r="T4" i="8"/>
  <c r="U4" i="8"/>
  <c r="N5" i="8"/>
  <c r="O5" i="8"/>
  <c r="P5" i="8"/>
  <c r="Q5" i="8"/>
  <c r="R5" i="8"/>
  <c r="S5" i="8"/>
  <c r="T5" i="8"/>
  <c r="U5" i="8"/>
  <c r="N6" i="8"/>
  <c r="O6" i="8"/>
  <c r="P6" i="8"/>
  <c r="Q6" i="8"/>
  <c r="R6" i="8"/>
  <c r="S6" i="8"/>
  <c r="T6" i="8"/>
  <c r="U6" i="8"/>
  <c r="N7" i="8"/>
  <c r="O7" i="8"/>
  <c r="P7" i="8"/>
  <c r="Q7" i="8"/>
  <c r="R7" i="8"/>
  <c r="S7" i="8"/>
  <c r="T7" i="8"/>
  <c r="U7" i="8"/>
  <c r="N8" i="8"/>
  <c r="O8" i="8"/>
  <c r="P8" i="8"/>
  <c r="Q8" i="8"/>
  <c r="R8" i="8"/>
  <c r="S8" i="8"/>
  <c r="T8" i="8"/>
  <c r="U8" i="8"/>
  <c r="N9" i="8"/>
  <c r="O9" i="8"/>
  <c r="P9" i="8"/>
  <c r="Q9" i="8"/>
  <c r="R9" i="8"/>
  <c r="S9" i="8"/>
  <c r="T9" i="8"/>
  <c r="U9" i="8"/>
  <c r="N10" i="8"/>
  <c r="O10" i="8"/>
  <c r="P10" i="8"/>
  <c r="Q10" i="8"/>
  <c r="R10" i="8"/>
  <c r="S10" i="8"/>
  <c r="T10" i="8"/>
  <c r="U10" i="8"/>
  <c r="N11" i="8"/>
  <c r="O11" i="8"/>
  <c r="P11" i="8"/>
  <c r="Q11" i="8"/>
  <c r="R11" i="8"/>
  <c r="S11" i="8"/>
  <c r="T11" i="8"/>
  <c r="U11" i="8"/>
  <c r="N12" i="8"/>
  <c r="O12" i="8"/>
  <c r="P12" i="8"/>
  <c r="Q12" i="8"/>
  <c r="R12" i="8"/>
  <c r="S12" i="8"/>
  <c r="T12" i="8"/>
  <c r="U12" i="8"/>
  <c r="O2" i="8"/>
  <c r="P2" i="8"/>
  <c r="Q2" i="8"/>
  <c r="R2" i="8"/>
  <c r="S2" i="8"/>
  <c r="T2" i="8"/>
  <c r="U2" i="8"/>
  <c r="N2" i="8"/>
  <c r="N3" i="7"/>
  <c r="O3" i="7"/>
  <c r="P3" i="7"/>
  <c r="Q3" i="7"/>
  <c r="R3" i="7"/>
  <c r="S3" i="7"/>
  <c r="T3" i="7"/>
  <c r="U3" i="7"/>
  <c r="N4" i="7"/>
  <c r="O4" i="7"/>
  <c r="P4" i="7"/>
  <c r="Q4" i="7"/>
  <c r="R4" i="7"/>
  <c r="S4" i="7"/>
  <c r="T4" i="7"/>
  <c r="U4" i="7"/>
  <c r="N5" i="7"/>
  <c r="O5" i="7"/>
  <c r="P5" i="7"/>
  <c r="Q5" i="7"/>
  <c r="R5" i="7"/>
  <c r="S5" i="7"/>
  <c r="T5" i="7"/>
  <c r="U5" i="7"/>
  <c r="N6" i="7"/>
  <c r="O6" i="7"/>
  <c r="P6" i="7"/>
  <c r="Q6" i="7"/>
  <c r="R6" i="7"/>
  <c r="S6" i="7"/>
  <c r="T6" i="7"/>
  <c r="U6" i="7"/>
  <c r="N7" i="7"/>
  <c r="O7" i="7"/>
  <c r="P7" i="7"/>
  <c r="Q7" i="7"/>
  <c r="R7" i="7"/>
  <c r="S7" i="7"/>
  <c r="T7" i="7"/>
  <c r="U7" i="7"/>
  <c r="N8" i="7"/>
  <c r="O8" i="7"/>
  <c r="P8" i="7"/>
  <c r="Q8" i="7"/>
  <c r="R8" i="7"/>
  <c r="S8" i="7"/>
  <c r="T8" i="7"/>
  <c r="U8" i="7"/>
  <c r="N9" i="7"/>
  <c r="O9" i="7"/>
  <c r="P9" i="7"/>
  <c r="Q9" i="7"/>
  <c r="R9" i="7"/>
  <c r="S9" i="7"/>
  <c r="T9" i="7"/>
  <c r="U9" i="7"/>
  <c r="N10" i="7"/>
  <c r="O10" i="7"/>
  <c r="P10" i="7"/>
  <c r="Q10" i="7"/>
  <c r="R10" i="7"/>
  <c r="S10" i="7"/>
  <c r="T10" i="7"/>
  <c r="U10" i="7"/>
  <c r="N11" i="7"/>
  <c r="O11" i="7"/>
  <c r="P11" i="7"/>
  <c r="Q11" i="7"/>
  <c r="R11" i="7"/>
  <c r="S11" i="7"/>
  <c r="T11" i="7"/>
  <c r="U11" i="7"/>
  <c r="N12" i="7"/>
  <c r="O12" i="7"/>
  <c r="P12" i="7"/>
  <c r="Q12" i="7"/>
  <c r="R12" i="7"/>
  <c r="S12" i="7"/>
  <c r="T12" i="7"/>
  <c r="U12" i="7"/>
  <c r="O2" i="7"/>
  <c r="P2" i="7"/>
  <c r="Q2" i="7"/>
  <c r="R2" i="7"/>
  <c r="S2" i="7"/>
  <c r="T2" i="7"/>
  <c r="U2" i="7"/>
  <c r="N2" i="7"/>
</calcChain>
</file>

<file path=xl/sharedStrings.xml><?xml version="1.0" encoding="utf-8"?>
<sst xmlns="http://schemas.openxmlformats.org/spreadsheetml/2006/main" count="271" uniqueCount="56">
  <si>
    <t>$C_{1}(_x000C_rac{1}{3}, 3)$</t>
  </si>
  <si>
    <t>$C_{1}(0, 3)$</t>
  </si>
  <si>
    <t>$C_{1}(0, 2)$</t>
  </si>
  <si>
    <t>$C_{1}(0, 1.5)$</t>
  </si>
  <si>
    <t>$C_{1}(0, 1.25)$</t>
  </si>
  <si>
    <t>$C_{2}(2)$</t>
  </si>
  <si>
    <t>$C_{2}(1)$</t>
  </si>
  <si>
    <t>$C_{3}(0,2,2)$</t>
  </si>
  <si>
    <t>$C_{3}(0,2,1)$</t>
  </si>
  <si>
    <t>reduction</t>
  </si>
  <si>
    <t>0.0</t>
  </si>
  <si>
    <t>0.3</t>
  </si>
  <si>
    <t>0.4</t>
  </si>
  <si>
    <t>0.5</t>
  </si>
  <si>
    <t>0.6</t>
  </si>
  <si>
    <t>0.7</t>
  </si>
  <si>
    <t>0.8</t>
  </si>
  <si>
    <t>0.9</t>
  </si>
  <si>
    <t>msci_gics_sector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</si>
  <si>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</si>
  <si>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</si>
  <si>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</si>
  <si>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</si>
  <si>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</si>
  <si>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</si>
  <si>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</si>
  <si>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</si>
  <si>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</si>
  <si>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</si>
  <si>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</si>
  <si>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SC1</t>
  </si>
  <si>
    <t>SC1_2</t>
  </si>
  <si>
    <t>SC_1_2_3</t>
  </si>
  <si>
    <t>SC_1_2_3_up</t>
  </si>
  <si>
    <t>Index/Reduction</t>
  </si>
  <si>
    <t>Health</t>
  </si>
  <si>
    <t>Information</t>
  </si>
  <si>
    <t>Real</t>
  </si>
  <si>
    <t>Total</t>
  </si>
  <si>
    <t>Diff (in bps)</t>
  </si>
  <si>
    <t>Thierry</t>
  </si>
  <si>
    <t>$SC_{0}$</t>
  </si>
  <si>
    <t>In %</t>
  </si>
  <si>
    <t>GRS (in %)</t>
  </si>
  <si>
    <t>Dropping Nas (Noureddine)</t>
  </si>
  <si>
    <t>SC1_2_3_up</t>
  </si>
  <si>
    <t>SC1_2_3</t>
  </si>
  <si>
    <t>Additionnal TE (in bps), G=1</t>
  </si>
  <si>
    <t>Additionnal TE (in bps), G=0</t>
  </si>
  <si>
    <t>year</t>
  </si>
  <si>
    <t>CTB_C0</t>
  </si>
  <si>
    <t>CTB_C3_0_2_1</t>
  </si>
  <si>
    <t>PAB_C0</t>
  </si>
  <si>
    <t>PAB_C3_0_2_1</t>
  </si>
  <si>
    <t>Additionnal TE (in bps), G=1, Fillna(0)</t>
  </si>
  <si>
    <t>SC1_2_3up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</si>
</sst>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2" fontId="0" fillId="2" borderId="0" xfId="0" applyNumberFormat="1" applyFill="1"/>
    <xf numFmtId="2" fontId="1" fillId="2" borderId="1" xfId="1" applyNumberFormat="1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center" vertical="top"/>
    </xf>
    <xf numFmtId="2" fontId="1" fillId="3" borderId="1" xfId="0" applyNumberFormat="1" applyFont="1" applyFill="1" applyBorder="1" applyAlignment="1">
      <alignment horizontal="center" vertical="top"/>
    </xf>
    <xf numFmtId="2" fontId="0" fillId="0" borderId="0" xfId="0" applyNumberFormat="1" applyFill="1"/>
    <xf numFmtId="0" fontId="1" fillId="3" borderId="0" xfId="0" applyFont="1" applyFill="1"/>
    <xf numFmtId="0" fontId="0" fillId="2" borderId="0" xfId="0" applyFill="1"/>
    <xf numFmtId="0" fontId="1" fillId="3" borderId="2" xfId="0" applyFont="1" applyFill="1" applyBorder="1" applyAlignment="1">
      <alignment horizontal="center" vertical="top"/>
    </xf>
    <xf numFmtId="2" fontId="1" fillId="3" borderId="2" xfId="0" applyNumberFormat="1" applyFont="1" applyFill="1" applyBorder="1" applyAlignment="1">
      <alignment horizontal="center" vertical="top"/>
    </xf>
    <xf numFmtId="2" fontId="1" fillId="3" borderId="0" xfId="0" applyNumberFormat="1" applyFont="1" applyFill="1"/>
    <xf numFmtId="2" fontId="1" fillId="0" borderId="0" xfId="0" applyNumberFormat="1" applyFont="1" applyFill="1" applyBorder="1" applyAlignment="1">
      <alignment horizontal="center" vertical="top"/>
    </xf>
    <xf numFmtId="2" fontId="3" fillId="0" borderId="0" xfId="0" applyNumberFormat="1" applyFont="1" applyFill="1" applyAlignment="1">
      <alignment horizontal="right" vertical="center" wrapText="1"/>
    </xf>
    <xf numFmtId="2" fontId="4" fillId="0" borderId="0" xfId="0" applyNumberFormat="1" applyFont="1" applyFill="1" applyAlignment="1">
      <alignment horizontal="right" vertical="center" wrapText="1"/>
    </xf>
    <xf numFmtId="164" fontId="0" fillId="2" borderId="0" xfId="0" applyNumberFormat="1" applyFill="1"/>
    <xf numFmtId="165" fontId="0" fillId="0" borderId="0" xfId="0" applyNumberFormat="1"/>
    <xf numFmtId="2" fontId="0" fillId="0" borderId="0" xfId="0" applyNumberFormat="1" applyAlignment="1">
      <alignment horizontal="left" vertical="top"/>
    </xf>
    <xf numFmtId="2" fontId="1" fillId="0" borderId="1" xfId="0" applyNumberFormat="1" applyFont="1" applyBorder="1" applyAlignment="1">
      <alignment horizontal="right" vertical="top"/>
    </xf>
    <xf numFmtId="2" fontId="0" fillId="0" borderId="0" xfId="0" applyNumberFormat="1" applyFont="1" applyBorder="1" applyAlignment="1">
      <alignment horizontal="right" vertical="top"/>
    </xf>
    <xf numFmtId="2" fontId="0" fillId="0" borderId="0" xfId="0" applyNumberFormat="1" applyAlignment="1">
      <alignment horizontal="right"/>
    </xf>
    <xf numFmtId="2" fontId="1" fillId="0" borderId="2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DT_OCE/RESEARCH/RECHERCHE%20QUANT/EQUIPE/DIVERSIFIED/2022/11.%20Net%20Zero%20Investment%20Portfolios/Python/nz-investment-portfolios/decarbonizaton_msci_world/decarbonization_msci_world_PAB_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DT_OCE/RESEARCH/RECHERCHE%20QUANT/EQUIPE/DIVERSIFIED/2022/11.%20Net%20Zero%20Investment%20Portfolios/Python/nz-investment-portfolios/decarbonizaton_msci_world/decarbonization_msci_world_deviation_0_2_sector_1_PAB_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1"/>
    </sheetNames>
    <sheetDataSet>
      <sheetData sheetId="0">
        <row r="2">
          <cell r="C2">
            <v>1.0478735307920819E-3</v>
          </cell>
          <cell r="D2">
            <v>1.3076832722891331E-3</v>
          </cell>
          <cell r="E2">
            <v>2.6443570025185669E-3</v>
          </cell>
          <cell r="F2">
            <v>2.3930205528936788E-3</v>
          </cell>
        </row>
        <row r="3">
          <cell r="C3">
            <v>1.1588791367896981E-3</v>
          </cell>
          <cell r="D3">
            <v>1.4551353164785051E-3</v>
          </cell>
          <cell r="E3">
            <v>3.0575271135800451E-3</v>
          </cell>
          <cell r="F3">
            <v>2.6665367998353041E-3</v>
          </cell>
        </row>
        <row r="4">
          <cell r="C4">
            <v>1.2714879287910659E-3</v>
          </cell>
          <cell r="D4">
            <v>1.6052077286055279E-3</v>
          </cell>
          <cell r="E4">
            <v>3.5010549065875589E-3</v>
          </cell>
          <cell r="F4">
            <v>2.938078913870195E-3</v>
          </cell>
        </row>
        <row r="5">
          <cell r="C5">
            <v>1.3866741934571341E-3</v>
          </cell>
          <cell r="D5">
            <v>1.75846950595657E-3</v>
          </cell>
          <cell r="E5">
            <v>3.9679709711410152E-3</v>
          </cell>
          <cell r="F5">
            <v>3.2049770370365369E-3</v>
          </cell>
        </row>
        <row r="6">
          <cell r="C6">
            <v>1.504859102300467E-3</v>
          </cell>
          <cell r="D6">
            <v>1.917330600665183E-3</v>
          </cell>
          <cell r="E6">
            <v>4.4604870967729238E-3</v>
          </cell>
          <cell r="F6">
            <v>3.4738399620934841E-3</v>
          </cell>
        </row>
        <row r="7">
          <cell r="C7">
            <v>1.627928918834448E-3</v>
          </cell>
          <cell r="D7">
            <v>2.0806178187950889E-3</v>
          </cell>
          <cell r="E7">
            <v>4.9723616090862491E-3</v>
          </cell>
          <cell r="F7">
            <v>3.746400715996022E-3</v>
          </cell>
        </row>
        <row r="8">
          <cell r="C8">
            <v>1.7551479639141771E-3</v>
          </cell>
          <cell r="D8">
            <v>2.254945476705226E-3</v>
          </cell>
          <cell r="E8">
            <v>5.5020573447390128E-3</v>
          </cell>
          <cell r="F8">
            <v>4.0218863444399918E-3</v>
          </cell>
        </row>
        <row r="9">
          <cell r="C9">
            <v>1.8840446611241111E-3</v>
          </cell>
          <cell r="D9">
            <v>2.4445657820577008E-3</v>
          </cell>
          <cell r="E9">
            <v>6.0473628289899771E-3</v>
          </cell>
          <cell r="F9">
            <v>4.2991965685891601E-3</v>
          </cell>
        </row>
        <row r="10">
          <cell r="C10">
            <v>2.018495791764152E-3</v>
          </cell>
          <cell r="D10">
            <v>2.6464580235960591E-3</v>
          </cell>
          <cell r="E10">
            <v>6.5984879575539364E-3</v>
          </cell>
          <cell r="F10">
            <v>4.5775037440013251E-3</v>
          </cell>
        </row>
        <row r="11">
          <cell r="C11">
            <v>2.1592682218030341E-3</v>
          </cell>
          <cell r="D11">
            <v>2.858936246396339E-3</v>
          </cell>
          <cell r="E11">
            <v>7.1519019065345831E-3</v>
          </cell>
          <cell r="F11">
            <v>4.8554941614060796E-3</v>
          </cell>
        </row>
        <row r="12">
          <cell r="C12">
            <v>2.306017309075105E-3</v>
          </cell>
          <cell r="D12">
            <v>3.081961186100182E-3</v>
          </cell>
          <cell r="E12">
            <v>7.7099429104094293E-3</v>
          </cell>
          <cell r="F12">
            <v>5.1309866063317684E-3</v>
          </cell>
        </row>
        <row r="13">
          <cell r="C13">
            <v>2.4565684438146271E-3</v>
          </cell>
          <cell r="D13">
            <v>3.3170935373658789E-3</v>
          </cell>
          <cell r="E13">
            <v>8.300589500911679E-3</v>
          </cell>
          <cell r="F13">
            <v>5.40231789267232E-3</v>
          </cell>
        </row>
        <row r="14">
          <cell r="C14">
            <v>2.6117288175577479E-3</v>
          </cell>
          <cell r="D14">
            <v>3.5665631009611318E-3</v>
          </cell>
          <cell r="E14">
            <v>8.9759883683092605E-3</v>
          </cell>
          <cell r="F14">
            <v>5.6752009053797929E-3</v>
          </cell>
        </row>
        <row r="15">
          <cell r="C15">
            <v>2.7714686513809579E-3</v>
          </cell>
          <cell r="D15">
            <v>3.8286187371396022E-3</v>
          </cell>
          <cell r="E15">
            <v>9.7497429671210556E-3</v>
          </cell>
          <cell r="F15">
            <v>5.9587992015530623E-3</v>
          </cell>
        </row>
        <row r="16">
          <cell r="C16">
            <v>2.93619880561763E-3</v>
          </cell>
          <cell r="D16">
            <v>4.0991885688478153E-3</v>
          </cell>
          <cell r="E16">
            <v>1.064327447307652E-2</v>
          </cell>
          <cell r="F16">
            <v>6.2602673375412986E-3</v>
          </cell>
        </row>
        <row r="17">
          <cell r="C17">
            <v>3.1056854626914199E-3</v>
          </cell>
          <cell r="D17">
            <v>4.3755660539198486E-3</v>
          </cell>
          <cell r="E17">
            <v>1.1675177867679579E-2</v>
          </cell>
          <cell r="F17">
            <v>6.5740406949073198E-3</v>
          </cell>
        </row>
        <row r="18">
          <cell r="C18">
            <v>3.2794915971447532E-3</v>
          </cell>
          <cell r="D18">
            <v>4.6576689095114707E-3</v>
          </cell>
          <cell r="E18">
            <v>1.283555377540836E-2</v>
          </cell>
          <cell r="F18">
            <v>6.8957558888394508E-3</v>
          </cell>
        </row>
        <row r="19">
          <cell r="C19">
            <v>3.4546497115627798E-3</v>
          </cell>
          <cell r="D19">
            <v>4.9421925035304012E-3</v>
          </cell>
          <cell r="E19">
            <v>1.411888401094921E-2</v>
          </cell>
          <cell r="F19">
            <v>7.2255611414924689E-3</v>
          </cell>
        </row>
        <row r="20">
          <cell r="C20">
            <v>3.6295543655020068E-3</v>
          </cell>
          <cell r="D20">
            <v>5.2260963576588109E-3</v>
          </cell>
          <cell r="E20">
            <v>1.5565411073450341E-2</v>
          </cell>
          <cell r="F20">
            <v>7.5766302551134208E-3</v>
          </cell>
        </row>
        <row r="21">
          <cell r="C21">
            <v>3.8025088210307209E-3</v>
          </cell>
          <cell r="D21">
            <v>5.5075214798188431E-3</v>
          </cell>
          <cell r="E21">
            <v>1.7291499540913881E-2</v>
          </cell>
          <cell r="F21">
            <v>7.9562774127173719E-3</v>
          </cell>
        </row>
        <row r="22">
          <cell r="C22">
            <v>3.9721301223990431E-3</v>
          </cell>
          <cell r="D22">
            <v>5.7838687738141544E-3</v>
          </cell>
          <cell r="E22">
            <v>1.9304815449573721E-2</v>
          </cell>
          <cell r="F22">
            <v>8.3772139805780455E-3</v>
          </cell>
        </row>
        <row r="23">
          <cell r="C23">
            <v>4.1402475010650502E-3</v>
          </cell>
          <cell r="D23">
            <v>6.0598564997441113E-3</v>
          </cell>
          <cell r="E23">
            <v>2.1496214380831082E-2</v>
          </cell>
          <cell r="F23">
            <v>8.8468155059664953E-3</v>
          </cell>
        </row>
        <row r="24">
          <cell r="C24">
            <v>4.3064294472469952E-3</v>
          </cell>
          <cell r="D24">
            <v>6.3375640950719811E-3</v>
          </cell>
          <cell r="E24">
            <v>2.3933117600068891E-2</v>
          </cell>
          <cell r="F24">
            <v>9.3935818396888148E-3</v>
          </cell>
        </row>
        <row r="25">
          <cell r="C25">
            <v>4.4689749447336044E-3</v>
          </cell>
          <cell r="D25">
            <v>6.6372828600463974E-3</v>
          </cell>
          <cell r="E25">
            <v>2.674963972590437E-2</v>
          </cell>
          <cell r="F25">
            <v>1.0026833712018211E-2</v>
          </cell>
        </row>
        <row r="26">
          <cell r="C26">
            <v>4.627507859923983E-3</v>
          </cell>
          <cell r="D26">
            <v>6.9781478887155791E-3</v>
          </cell>
          <cell r="E26">
            <v>3.0823598523609181E-2</v>
          </cell>
          <cell r="F26">
            <v>1.073691905715674E-2</v>
          </cell>
        </row>
        <row r="27">
          <cell r="C27">
            <v>4.782319784792561E-3</v>
          </cell>
          <cell r="D27">
            <v>7.3573979869749132E-3</v>
          </cell>
          <cell r="E27">
            <v>4.1803702698937767E-2</v>
          </cell>
          <cell r="F27">
            <v>1.151862640586584E-2</v>
          </cell>
        </row>
        <row r="28">
          <cell r="C28">
            <v>4.9325195065742494E-3</v>
          </cell>
          <cell r="D28">
            <v>7.7707975710732211E-3</v>
          </cell>
          <cell r="E28">
            <v>0.104811028688819</v>
          </cell>
          <cell r="F28">
            <v>1.23827180227193E-2</v>
          </cell>
        </row>
        <row r="29">
          <cell r="C29">
            <v>5.0772547741324428E-3</v>
          </cell>
          <cell r="D29">
            <v>8.217989414156239E-3</v>
          </cell>
          <cell r="F29">
            <v>1.3342585680775841E-2</v>
          </cell>
        </row>
        <row r="30">
          <cell r="C30">
            <v>5.217461208448685E-3</v>
          </cell>
          <cell r="D30">
            <v>8.7000443842413996E-3</v>
          </cell>
          <cell r="F30">
            <v>1.4425430251954009E-2</v>
          </cell>
        </row>
        <row r="31">
          <cell r="C31">
            <v>5.3550082812198301E-3</v>
          </cell>
          <cell r="D31">
            <v>9.226163663135882E-3</v>
          </cell>
          <cell r="F31">
            <v>1.5652536760339991E-2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1"/>
    </sheetNames>
    <sheetDataSet>
      <sheetData sheetId="0">
        <row r="2">
          <cell r="C2">
            <v>1.513124746878528E-3</v>
          </cell>
          <cell r="D2">
            <v>1.971959735316615E-3</v>
          </cell>
          <cell r="E2">
            <v>8.4960063694630664E-3</v>
          </cell>
          <cell r="F2">
            <v>3.6267995796883711E-3</v>
          </cell>
        </row>
        <row r="3">
          <cell r="C3">
            <v>1.735929520302613E-3</v>
          </cell>
          <cell r="D3">
            <v>2.303819554915874E-3</v>
          </cell>
          <cell r="F3">
            <v>4.3359438471362267E-3</v>
          </cell>
        </row>
        <row r="4">
          <cell r="C4">
            <v>1.9934093624832589E-3</v>
          </cell>
          <cell r="D4">
            <v>2.731050774112787E-3</v>
          </cell>
          <cell r="F4">
            <v>5.2498405982714129E-3</v>
          </cell>
        </row>
        <row r="5">
          <cell r="C5">
            <v>2.2875512928892498E-3</v>
          </cell>
          <cell r="D5">
            <v>3.3575624329657472E-3</v>
          </cell>
          <cell r="F5">
            <v>6.5853583124681992E-3</v>
          </cell>
        </row>
        <row r="6">
          <cell r="C6">
            <v>2.641806650177091E-3</v>
          </cell>
          <cell r="D6">
            <v>4.28260943014196E-3</v>
          </cell>
          <cell r="F6">
            <v>9.1120776679414883E-3</v>
          </cell>
        </row>
        <row r="7">
          <cell r="C7">
            <v>3.1303644888917579E-3</v>
          </cell>
          <cell r="D7">
            <v>6.4033209650620057E-3</v>
          </cell>
        </row>
        <row r="8">
          <cell r="C8">
            <v>3.847659002894549E-3</v>
          </cell>
        </row>
        <row r="9">
          <cell r="C9">
            <v>5.2499959594197922E-3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workbookViewId="0">
      <selection sqref="A1:B1048576"/>
    </sheetView>
  </sheetViews>
  <sheetFormatPr defaultRowHeight="15" x14ac:dyDescent="0.25"/>
  <cols>
    <col min="1" max="1" width="9.5703125" style="3" bestFit="1" customWidth="1"/>
    <col min="2" max="2" width="8.5703125" style="3" bestFit="1" customWidth="1"/>
    <col min="3" max="3" width="19.85546875" style="3" bestFit="1" customWidth="1"/>
    <col min="4" max="5" width="12" style="3" bestFit="1" customWidth="1"/>
    <col min="6" max="6" width="13.7109375" style="3" bestFit="1" customWidth="1"/>
    <col min="7" max="7" width="14.7109375" style="3" bestFit="1" customWidth="1"/>
    <col min="8" max="9" width="10" style="3" bestFit="1" customWidth="1"/>
    <col min="10" max="11" width="13.28515625" style="3" bestFit="1" customWidth="1"/>
    <col min="12" max="16384" width="9.140625" style="3"/>
  </cols>
  <sheetData>
    <row r="1" spans="1:11" x14ac:dyDescent="0.25">
      <c r="A1" s="4" t="s">
        <v>9</v>
      </c>
      <c r="B1" s="4" t="s">
        <v>41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x14ac:dyDescent="0.25">
      <c r="A2" s="4">
        <v>0</v>
      </c>
      <c r="B2" s="3">
        <v>7.8350818796393144E-11</v>
      </c>
      <c r="C2" s="3">
        <v>7.8350818796393144E-11</v>
      </c>
      <c r="D2" s="3">
        <v>7.8350818796393144E-11</v>
      </c>
      <c r="E2" s="3">
        <v>7.8350818796393144E-11</v>
      </c>
      <c r="F2" s="3">
        <v>7.8350818796393144E-11</v>
      </c>
      <c r="G2" s="3">
        <v>7.8350818796393144E-11</v>
      </c>
      <c r="H2" s="3">
        <v>7.8350818796393144E-11</v>
      </c>
      <c r="I2" s="3">
        <v>7.8350818796393144E-11</v>
      </c>
      <c r="J2" s="3">
        <v>7.8350818796393144E-11</v>
      </c>
      <c r="K2" s="3">
        <v>7.8350818796393144E-11</v>
      </c>
    </row>
    <row r="3" spans="1:11" x14ac:dyDescent="0.25">
      <c r="A3" s="4">
        <v>0.01</v>
      </c>
      <c r="B3" s="3">
        <v>0.1425998746637645</v>
      </c>
      <c r="C3" s="3">
        <v>0.1475902272938035</v>
      </c>
      <c r="D3" s="3">
        <v>0.1425998746637645</v>
      </c>
      <c r="E3" s="3">
        <v>0.1425998746637645</v>
      </c>
      <c r="F3" s="3">
        <v>0.1425998746637645</v>
      </c>
      <c r="G3" s="3">
        <v>0.1425998746637645</v>
      </c>
      <c r="H3" s="3">
        <v>0.1425998746637645</v>
      </c>
      <c r="I3" s="3">
        <v>0.18324301207480939</v>
      </c>
      <c r="J3" s="3">
        <v>0.1425998746637645</v>
      </c>
      <c r="K3" s="3">
        <v>0.18324301207480939</v>
      </c>
    </row>
    <row r="4" spans="1:11" x14ac:dyDescent="0.25">
      <c r="A4" s="4">
        <v>0.02</v>
      </c>
      <c r="B4" s="3">
        <v>0.30223134305476113</v>
      </c>
      <c r="C4" s="3">
        <v>0.31053726034926121</v>
      </c>
      <c r="D4" s="3">
        <v>0.30223134305476113</v>
      </c>
      <c r="E4" s="3">
        <v>0.30223134305476113</v>
      </c>
      <c r="F4" s="3">
        <v>0.30223134305476113</v>
      </c>
      <c r="G4" s="3">
        <v>0.30223134305476113</v>
      </c>
      <c r="H4" s="3">
        <v>0.30223134305476113</v>
      </c>
      <c r="I4" s="3">
        <v>0.38515054092376999</v>
      </c>
      <c r="J4" s="3">
        <v>0.30223134305476113</v>
      </c>
      <c r="K4" s="3">
        <v>0.38515054092376999</v>
      </c>
    </row>
    <row r="5" spans="1:11" x14ac:dyDescent="0.25">
      <c r="A5" s="4">
        <v>0.03</v>
      </c>
      <c r="B5" s="3">
        <v>0.46580589052323129</v>
      </c>
      <c r="C5" s="3">
        <v>0.47508545272270819</v>
      </c>
      <c r="D5" s="3">
        <v>0.46580589052323129</v>
      </c>
      <c r="E5" s="3">
        <v>0.46580589052323129</v>
      </c>
      <c r="F5" s="3">
        <v>0.46580589052323129</v>
      </c>
      <c r="G5" s="3">
        <v>0.46580589052323129</v>
      </c>
      <c r="H5" s="3">
        <v>0.46580589052323129</v>
      </c>
      <c r="I5" s="3">
        <v>0.59020793818671213</v>
      </c>
      <c r="J5" s="3">
        <v>0.46580589052323129</v>
      </c>
      <c r="K5" s="3">
        <v>0.59020793818671213</v>
      </c>
    </row>
    <row r="6" spans="1:11" x14ac:dyDescent="0.25">
      <c r="A6" s="4">
        <v>0.04</v>
      </c>
      <c r="B6" s="3">
        <v>0.63026086108723078</v>
      </c>
      <c r="C6" s="3">
        <v>0.64000098997050392</v>
      </c>
      <c r="D6" s="3">
        <v>0.63026086108723078</v>
      </c>
      <c r="E6" s="3">
        <v>0.63026086108723078</v>
      </c>
      <c r="F6" s="3">
        <v>0.63026086108723078</v>
      </c>
      <c r="G6" s="3">
        <v>0.63026086108723078</v>
      </c>
      <c r="H6" s="3">
        <v>0.63026086108723078</v>
      </c>
      <c r="I6" s="3">
        <v>0.79598455691573866</v>
      </c>
      <c r="J6" s="3">
        <v>0.63026086108723078</v>
      </c>
      <c r="K6" s="3">
        <v>0.79598455691573866</v>
      </c>
    </row>
    <row r="7" spans="1:11" x14ac:dyDescent="0.25">
      <c r="A7" s="4">
        <v>0.05</v>
      </c>
      <c r="B7" s="3">
        <v>0.79505009957970574</v>
      </c>
      <c r="C7" s="3">
        <v>0.80505815279926485</v>
      </c>
      <c r="D7" s="3">
        <v>0.79505009957970574</v>
      </c>
      <c r="E7" s="3">
        <v>0.79505009957970574</v>
      </c>
      <c r="F7" s="3">
        <v>0.79505009957970574</v>
      </c>
      <c r="G7" s="3">
        <v>0.79505009957970574</v>
      </c>
      <c r="H7" s="3">
        <v>0.79505009957970574</v>
      </c>
      <c r="I7" s="3">
        <v>1.002037400910373</v>
      </c>
      <c r="J7" s="3">
        <v>0.79505009957970574</v>
      </c>
      <c r="K7" s="3">
        <v>1.002037400910373</v>
      </c>
    </row>
    <row r="8" spans="1:11" x14ac:dyDescent="0.25">
      <c r="A8" s="4">
        <v>0.06</v>
      </c>
      <c r="B8" s="3">
        <v>0.96000148495504567</v>
      </c>
      <c r="C8" s="3">
        <v>0.97068725024861024</v>
      </c>
      <c r="D8" s="3">
        <v>0.96000148495504567</v>
      </c>
      <c r="E8" s="3">
        <v>0.96000148495504567</v>
      </c>
      <c r="F8" s="3">
        <v>0.96000148495504567</v>
      </c>
      <c r="G8" s="3">
        <v>0.96000148495504567</v>
      </c>
      <c r="H8" s="3">
        <v>0.96000148495504567</v>
      </c>
      <c r="I8" s="3">
        <v>1.208225154606263</v>
      </c>
      <c r="J8" s="3">
        <v>0.96000148495504567</v>
      </c>
      <c r="K8" s="3">
        <v>1.208225154606263</v>
      </c>
    </row>
    <row r="9" spans="1:11" x14ac:dyDescent="0.25">
      <c r="A9" s="4">
        <v>7.0000000000000007E-2</v>
      </c>
      <c r="B9" s="3">
        <v>1.125043698636123</v>
      </c>
      <c r="C9" s="3">
        <v>1.138973647453414</v>
      </c>
      <c r="D9" s="3">
        <v>1.125043698636123</v>
      </c>
      <c r="E9" s="3">
        <v>1.125043698636123</v>
      </c>
      <c r="F9" s="3">
        <v>1.125043698636123</v>
      </c>
      <c r="G9" s="3">
        <v>1.125043698636123</v>
      </c>
      <c r="H9" s="3">
        <v>1.125043698636123</v>
      </c>
      <c r="I9" s="3">
        <v>1.4144888225250909</v>
      </c>
      <c r="J9" s="3">
        <v>1.125043698636123</v>
      </c>
      <c r="K9" s="3">
        <v>1.4144888225250909</v>
      </c>
    </row>
    <row r="10" spans="1:11" x14ac:dyDescent="0.25">
      <c r="A10" s="4">
        <v>0.08</v>
      </c>
      <c r="B10" s="3">
        <v>1.290141883289172</v>
      </c>
      <c r="C10" s="3">
        <v>1.30920614248931</v>
      </c>
      <c r="D10" s="3">
        <v>1.290141883289172</v>
      </c>
      <c r="E10" s="3">
        <v>1.290141883289172</v>
      </c>
      <c r="F10" s="3">
        <v>1.290141883289172</v>
      </c>
      <c r="G10" s="3">
        <v>1.290141883289172</v>
      </c>
      <c r="H10" s="3">
        <v>1.290141883289172</v>
      </c>
      <c r="I10" s="3">
        <v>1.621328912702575</v>
      </c>
      <c r="J10" s="3">
        <v>1.290141883289172</v>
      </c>
      <c r="K10" s="3">
        <v>1.621328912702575</v>
      </c>
    </row>
    <row r="11" spans="1:11" x14ac:dyDescent="0.25">
      <c r="A11" s="4">
        <v>0.09</v>
      </c>
      <c r="B11" s="3">
        <v>1.456030875372285</v>
      </c>
      <c r="C11" s="3">
        <v>1.481567054762118</v>
      </c>
      <c r="D11" s="3">
        <v>1.456030875372285</v>
      </c>
      <c r="E11" s="3">
        <v>1.456030875372285</v>
      </c>
      <c r="F11" s="3">
        <v>1.456030875372285</v>
      </c>
      <c r="G11" s="3">
        <v>1.456030875372285</v>
      </c>
      <c r="H11" s="3">
        <v>1.456030875372285</v>
      </c>
      <c r="I11" s="3">
        <v>1.830337522321053</v>
      </c>
      <c r="J11" s="3">
        <v>1.456030875372285</v>
      </c>
      <c r="K11" s="3">
        <v>1.830337522321053</v>
      </c>
    </row>
    <row r="12" spans="1:11" x14ac:dyDescent="0.25">
      <c r="A12" s="4">
        <v>0.1</v>
      </c>
      <c r="B12" s="3">
        <v>1.6239268174336829</v>
      </c>
      <c r="C12" s="3">
        <v>1.655935889271781</v>
      </c>
      <c r="D12" s="3">
        <v>1.6239268174336821</v>
      </c>
      <c r="E12" s="3">
        <v>1.6239268174336821</v>
      </c>
      <c r="F12" s="3">
        <v>1.6239268174336821</v>
      </c>
      <c r="G12" s="3">
        <v>1.6239268174336821</v>
      </c>
      <c r="H12" s="3">
        <v>1.6239268174336821</v>
      </c>
      <c r="I12" s="3">
        <v>2.0410048194137538</v>
      </c>
      <c r="J12" s="3">
        <v>1.6239268174336821</v>
      </c>
      <c r="K12" s="3">
        <v>2.0410048194137538</v>
      </c>
    </row>
    <row r="13" spans="1:11" x14ac:dyDescent="0.25">
      <c r="A13" s="4">
        <v>0.11</v>
      </c>
      <c r="B13" s="3">
        <v>1.7933110450057239</v>
      </c>
      <c r="C13" s="3">
        <v>1.832459912165654</v>
      </c>
      <c r="D13" s="3">
        <v>1.7933110450057239</v>
      </c>
      <c r="E13" s="3">
        <v>1.7933110450057239</v>
      </c>
      <c r="F13" s="3">
        <v>1.7933110450057239</v>
      </c>
      <c r="G13" s="3">
        <v>1.7933110450057239</v>
      </c>
      <c r="H13" s="3">
        <v>1.7933110450057239</v>
      </c>
      <c r="I13" s="3">
        <v>2.2528655363618388</v>
      </c>
      <c r="J13" s="3">
        <v>1.7933110450057239</v>
      </c>
      <c r="K13" s="3">
        <v>2.2528655363618388</v>
      </c>
    </row>
    <row r="14" spans="1:11" x14ac:dyDescent="0.25">
      <c r="A14" s="4">
        <v>0.12</v>
      </c>
      <c r="B14" s="3">
        <v>1.963809213733267</v>
      </c>
      <c r="C14" s="3">
        <v>2.0118652806146669</v>
      </c>
      <c r="D14" s="3">
        <v>1.963809213733267</v>
      </c>
      <c r="E14" s="3">
        <v>1.963809213733267</v>
      </c>
      <c r="F14" s="3">
        <v>1.963809213733267</v>
      </c>
      <c r="G14" s="3">
        <v>1.963809213733267</v>
      </c>
      <c r="H14" s="3">
        <v>1.963809213733267</v>
      </c>
      <c r="I14" s="3">
        <v>2.4657536088852621</v>
      </c>
      <c r="J14" s="3">
        <v>1.963809213733267</v>
      </c>
      <c r="K14" s="3">
        <v>2.4657566076313988</v>
      </c>
    </row>
    <row r="15" spans="1:11" x14ac:dyDescent="0.25">
      <c r="A15" s="4">
        <v>0.13</v>
      </c>
      <c r="B15" s="3">
        <v>2.135782538410619</v>
      </c>
      <c r="C15" s="3">
        <v>2.1934937630380511</v>
      </c>
      <c r="D15" s="3">
        <v>2.135782538410619</v>
      </c>
      <c r="E15" s="3">
        <v>2.135782538410619</v>
      </c>
      <c r="F15" s="3">
        <v>2.135782538410619</v>
      </c>
      <c r="G15" s="3">
        <v>2.135782538410619</v>
      </c>
      <c r="H15" s="3">
        <v>2.135782538410619</v>
      </c>
      <c r="I15" s="3">
        <v>2.6810945726289672</v>
      </c>
      <c r="J15" s="3">
        <v>2.135782538410619</v>
      </c>
      <c r="K15" s="3">
        <v>2.681167305828899</v>
      </c>
    </row>
    <row r="16" spans="1:11" x14ac:dyDescent="0.25">
      <c r="A16" s="4">
        <v>0.14000000000000001</v>
      </c>
      <c r="B16" s="3">
        <v>2.309248160423842</v>
      </c>
      <c r="C16" s="3">
        <v>2.3779107809832238</v>
      </c>
      <c r="D16" s="3">
        <v>2.3092481604238411</v>
      </c>
      <c r="E16" s="3">
        <v>2.3092481604238411</v>
      </c>
      <c r="F16" s="3">
        <v>2.3092481604238411</v>
      </c>
      <c r="G16" s="3">
        <v>2.3092481604238411</v>
      </c>
      <c r="H16" s="3">
        <v>2.3092481604238411</v>
      </c>
      <c r="I16" s="3">
        <v>2.8995389137259528</v>
      </c>
      <c r="J16" s="3">
        <v>2.3092481604238411</v>
      </c>
      <c r="K16" s="3">
        <v>2.899764143484366</v>
      </c>
    </row>
    <row r="17" spans="1:11" x14ac:dyDescent="0.25">
      <c r="A17" s="4">
        <v>0.15</v>
      </c>
      <c r="B17" s="3">
        <v>2.4839038339070658</v>
      </c>
      <c r="C17" s="3">
        <v>2.565922131222564</v>
      </c>
      <c r="D17" s="3">
        <v>2.4839038339070658</v>
      </c>
      <c r="E17" s="3">
        <v>2.4839038339070658</v>
      </c>
      <c r="F17" s="3">
        <v>2.4839038339070658</v>
      </c>
      <c r="G17" s="3">
        <v>2.4839038339070658</v>
      </c>
      <c r="H17" s="3">
        <v>2.4839038339070658</v>
      </c>
      <c r="I17" s="3">
        <v>3.1206184937277448</v>
      </c>
      <c r="J17" s="3">
        <v>2.4839038339070658</v>
      </c>
      <c r="K17" s="3">
        <v>3.1213437714260839</v>
      </c>
    </row>
    <row r="18" spans="1:11" x14ac:dyDescent="0.25">
      <c r="A18" s="4">
        <v>0.16</v>
      </c>
      <c r="B18" s="3">
        <v>2.6599028296400982</v>
      </c>
      <c r="C18" s="3">
        <v>2.756902949476387</v>
      </c>
      <c r="D18" s="3">
        <v>2.6599028296400982</v>
      </c>
      <c r="E18" s="3">
        <v>2.6599028296400982</v>
      </c>
      <c r="F18" s="3">
        <v>2.6599028296400982</v>
      </c>
      <c r="G18" s="3">
        <v>2.6599028296400982</v>
      </c>
      <c r="H18" s="3">
        <v>2.6599028296400982</v>
      </c>
      <c r="I18" s="3">
        <v>3.3441553684502878</v>
      </c>
      <c r="J18" s="3">
        <v>2.6599028296400982</v>
      </c>
      <c r="K18" s="3">
        <v>3.3458899512507778</v>
      </c>
    </row>
    <row r="19" spans="1:11" x14ac:dyDescent="0.25">
      <c r="A19" s="4">
        <v>0.17</v>
      </c>
      <c r="B19" s="3">
        <v>2.8379635608596461</v>
      </c>
      <c r="C19" s="3">
        <v>2.9512244716932821</v>
      </c>
      <c r="D19" s="3">
        <v>2.8379635608596461</v>
      </c>
      <c r="E19" s="3">
        <v>2.8379635608596461</v>
      </c>
      <c r="F19" s="3">
        <v>2.8379635608596461</v>
      </c>
      <c r="G19" s="3">
        <v>2.8379640837618041</v>
      </c>
      <c r="H19" s="3">
        <v>2.8379635608596461</v>
      </c>
      <c r="I19" s="3">
        <v>3.5697449252683211</v>
      </c>
      <c r="J19" s="3">
        <v>2.8379635608596461</v>
      </c>
      <c r="K19" s="3">
        <v>3.573024595377428</v>
      </c>
    </row>
    <row r="20" spans="1:11" x14ac:dyDescent="0.25">
      <c r="A20" s="4">
        <v>0.18</v>
      </c>
      <c r="B20" s="3">
        <v>3.0177979209213852</v>
      </c>
      <c r="C20" s="3">
        <v>3.15083424042033</v>
      </c>
      <c r="D20" s="3">
        <v>3.0177979209213852</v>
      </c>
      <c r="E20" s="3">
        <v>3.0177979209213852</v>
      </c>
      <c r="F20" s="3">
        <v>3.0177979209213852</v>
      </c>
      <c r="G20" s="3">
        <v>3.017801535446679</v>
      </c>
      <c r="H20" s="3">
        <v>3.0177979209213852</v>
      </c>
      <c r="I20" s="3">
        <v>3.7976376679385568</v>
      </c>
      <c r="J20" s="3">
        <v>3.0177979209213852</v>
      </c>
      <c r="K20" s="3">
        <v>3.8032523271563088</v>
      </c>
    </row>
    <row r="21" spans="1:11" x14ac:dyDescent="0.25">
      <c r="A21" s="4">
        <v>0.19</v>
      </c>
      <c r="B21" s="3">
        <v>3.19910681587496</v>
      </c>
      <c r="C21" s="3">
        <v>3.3560769927734562</v>
      </c>
      <c r="D21" s="3">
        <v>3.19910681587496</v>
      </c>
      <c r="E21" s="3">
        <v>3.19910681587496</v>
      </c>
      <c r="F21" s="3">
        <v>3.19910681587496</v>
      </c>
      <c r="G21" s="3">
        <v>3.1991178149266579</v>
      </c>
      <c r="H21" s="3">
        <v>3.19910681587496</v>
      </c>
      <c r="I21" s="3">
        <v>4.0295916322200824</v>
      </c>
      <c r="J21" s="3">
        <v>3.19910681587496</v>
      </c>
      <c r="K21" s="3">
        <v>4.0386414871216667</v>
      </c>
    </row>
    <row r="22" spans="1:11" x14ac:dyDescent="0.25">
      <c r="A22" s="4">
        <v>0.2</v>
      </c>
      <c r="B22" s="3">
        <v>3.381794921653885</v>
      </c>
      <c r="C22" s="3">
        <v>3.5668185945928821</v>
      </c>
      <c r="D22" s="3">
        <v>3.381794921653885</v>
      </c>
      <c r="E22" s="3">
        <v>3.381794921653885</v>
      </c>
      <c r="F22" s="3">
        <v>3.381794921653885</v>
      </c>
      <c r="G22" s="3">
        <v>3.3818177329889321</v>
      </c>
      <c r="H22" s="3">
        <v>3.381794921653885</v>
      </c>
      <c r="I22" s="3">
        <v>4.2661470080131831</v>
      </c>
      <c r="J22" s="3">
        <v>3.381794921653885</v>
      </c>
      <c r="K22" s="3">
        <v>4.2797018078363047</v>
      </c>
    </row>
    <row r="23" spans="1:11" x14ac:dyDescent="0.25">
      <c r="A23" s="4">
        <v>0.21</v>
      </c>
      <c r="B23" s="3">
        <v>3.566866171474278</v>
      </c>
      <c r="C23" s="3">
        <v>3.7826325496997928</v>
      </c>
      <c r="D23" s="3">
        <v>3.566866171474278</v>
      </c>
      <c r="E23" s="3">
        <v>3.566866171474278</v>
      </c>
      <c r="F23" s="3">
        <v>3.566866171474278</v>
      </c>
      <c r="G23" s="3">
        <v>3.566905371871429</v>
      </c>
      <c r="H23" s="3">
        <v>3.566866171474278</v>
      </c>
      <c r="I23" s="3">
        <v>4.5066294786975742</v>
      </c>
      <c r="J23" s="3">
        <v>3.566866171474278</v>
      </c>
      <c r="K23" s="3">
        <v>4.525830022497348</v>
      </c>
    </row>
    <row r="24" spans="1:11" x14ac:dyDescent="0.25">
      <c r="A24" s="4">
        <v>0.22</v>
      </c>
      <c r="B24" s="3">
        <v>3.754334100928999</v>
      </c>
      <c r="C24" s="3">
        <v>4.0029769567498343</v>
      </c>
      <c r="D24" s="3">
        <v>3.7543341009289981</v>
      </c>
      <c r="E24" s="3">
        <v>3.7543341009289981</v>
      </c>
      <c r="F24" s="3">
        <v>3.7543341009289981</v>
      </c>
      <c r="G24" s="3">
        <v>3.7543931702310118</v>
      </c>
      <c r="H24" s="3">
        <v>3.7543341009289981</v>
      </c>
      <c r="I24" s="3">
        <v>4.7510427695124742</v>
      </c>
      <c r="J24" s="3">
        <v>3.7543341009289981</v>
      </c>
      <c r="K24" s="3">
        <v>4.777191113746432</v>
      </c>
    </row>
    <row r="25" spans="1:11" x14ac:dyDescent="0.25">
      <c r="A25" s="4">
        <v>0.23</v>
      </c>
      <c r="B25" s="3">
        <v>3.9439250763965918</v>
      </c>
      <c r="C25" s="3">
        <v>4.2290303828976272</v>
      </c>
      <c r="D25" s="3">
        <v>3.9439250763965918</v>
      </c>
      <c r="E25" s="3">
        <v>3.9439250763965918</v>
      </c>
      <c r="F25" s="3">
        <v>3.9439250763965918</v>
      </c>
      <c r="G25" s="3">
        <v>3.9440069639784299</v>
      </c>
      <c r="H25" s="3">
        <v>3.9439250763965918</v>
      </c>
      <c r="I25" s="3">
        <v>5.0000642236557473</v>
      </c>
      <c r="J25" s="3">
        <v>3.9439250763965918</v>
      </c>
      <c r="K25" s="3">
        <v>5.034477151198212</v>
      </c>
    </row>
    <row r="26" spans="1:11" x14ac:dyDescent="0.25">
      <c r="A26" s="4">
        <v>0.24</v>
      </c>
      <c r="B26" s="3">
        <v>4.1353544242139462</v>
      </c>
      <c r="C26" s="3">
        <v>4.4613249198110267</v>
      </c>
      <c r="D26" s="3">
        <v>4.1353544242139462</v>
      </c>
      <c r="E26" s="3">
        <v>4.1353544242139462</v>
      </c>
      <c r="F26" s="3">
        <v>4.1353544242139462</v>
      </c>
      <c r="G26" s="3">
        <v>4.1354615847152836</v>
      </c>
      <c r="H26" s="3">
        <v>4.1353544242139462</v>
      </c>
      <c r="I26" s="3">
        <v>5.2537026435790128</v>
      </c>
      <c r="J26" s="3">
        <v>4.1353544242139462</v>
      </c>
      <c r="K26" s="3">
        <v>5.2979789241523152</v>
      </c>
    </row>
    <row r="27" spans="1:11" x14ac:dyDescent="0.25">
      <c r="A27" s="4">
        <v>0.25</v>
      </c>
      <c r="B27" s="3">
        <v>4.3289134140244574</v>
      </c>
      <c r="C27" s="3">
        <v>4.6999339315940212</v>
      </c>
      <c r="D27" s="3">
        <v>4.3289134140244574</v>
      </c>
      <c r="E27" s="3">
        <v>4.3289134140244574</v>
      </c>
      <c r="F27" s="3">
        <v>4.3289134140244574</v>
      </c>
      <c r="G27" s="3">
        <v>4.3290505420219718</v>
      </c>
      <c r="H27" s="3">
        <v>4.3289134140244574</v>
      </c>
      <c r="I27" s="3">
        <v>5.5116528765221746</v>
      </c>
      <c r="J27" s="3">
        <v>4.3289134140244574</v>
      </c>
      <c r="K27" s="3">
        <v>5.5676442674802118</v>
      </c>
    </row>
    <row r="28" spans="1:11" x14ac:dyDescent="0.25">
      <c r="A28" s="4">
        <v>0.26</v>
      </c>
      <c r="B28" s="3">
        <v>4.5256386811078197</v>
      </c>
      <c r="C28" s="3">
        <v>4.9451401798165744</v>
      </c>
      <c r="D28" s="3">
        <v>4.5256386811078197</v>
      </c>
      <c r="E28" s="3">
        <v>4.5256386811078197</v>
      </c>
      <c r="F28" s="3">
        <v>4.5256386811078197</v>
      </c>
      <c r="G28" s="3">
        <v>4.5258123833745634</v>
      </c>
      <c r="H28" s="3">
        <v>4.5256386811078197</v>
      </c>
      <c r="I28" s="3">
        <v>5.773619708026418</v>
      </c>
      <c r="J28" s="3">
        <v>4.5256386811078197</v>
      </c>
      <c r="K28" s="3">
        <v>5.8432259125716017</v>
      </c>
    </row>
    <row r="29" spans="1:11" x14ac:dyDescent="0.25">
      <c r="A29" s="4">
        <v>0.27</v>
      </c>
      <c r="B29" s="3">
        <v>4.7262513606299166</v>
      </c>
      <c r="C29" s="3">
        <v>5.197579835692542</v>
      </c>
      <c r="D29" s="3">
        <v>4.7262513606299166</v>
      </c>
      <c r="E29" s="3">
        <v>4.7262513606299166</v>
      </c>
      <c r="F29" s="3">
        <v>4.7262513606299166</v>
      </c>
      <c r="G29" s="3">
        <v>4.7264705389992638</v>
      </c>
      <c r="H29" s="3">
        <v>4.7262513606299166</v>
      </c>
      <c r="I29" s="3">
        <v>6.0395619489162939</v>
      </c>
      <c r="J29" s="3">
        <v>4.7262513606299166</v>
      </c>
      <c r="K29" s="3">
        <v>6.1250975202812681</v>
      </c>
    </row>
    <row r="30" spans="1:11" x14ac:dyDescent="0.25">
      <c r="A30" s="4">
        <v>0.28000000000000003</v>
      </c>
      <c r="B30" s="3">
        <v>4.9305626790883137</v>
      </c>
      <c r="C30" s="3">
        <v>5.4571880144765581</v>
      </c>
      <c r="D30" s="3">
        <v>4.9305626790883137</v>
      </c>
      <c r="E30" s="3">
        <v>4.9305626790883137</v>
      </c>
      <c r="F30" s="3">
        <v>4.9305626790883137</v>
      </c>
      <c r="G30" s="3">
        <v>4.9308349383759342</v>
      </c>
      <c r="H30" s="3">
        <v>4.9305626790883137</v>
      </c>
      <c r="I30" s="3">
        <v>6.3097364339772959</v>
      </c>
      <c r="J30" s="3">
        <v>4.9305626790883137</v>
      </c>
      <c r="K30" s="3">
        <v>6.4134143100976146</v>
      </c>
    </row>
    <row r="31" spans="1:11" x14ac:dyDescent="0.25">
      <c r="A31" s="4">
        <v>0.28999999999999998</v>
      </c>
      <c r="B31" s="3">
        <v>5.1386089631463436</v>
      </c>
      <c r="C31" s="3">
        <v>5.723708357184786</v>
      </c>
      <c r="D31" s="3">
        <v>5.1386089631463436</v>
      </c>
      <c r="E31" s="3">
        <v>5.1386089631463436</v>
      </c>
      <c r="F31" s="3">
        <v>5.1386095006807144</v>
      </c>
      <c r="G31" s="3">
        <v>5.1389446079262688</v>
      </c>
      <c r="H31" s="3">
        <v>5.1386089631463436</v>
      </c>
      <c r="I31" s="3">
        <v>6.5846706335288863</v>
      </c>
      <c r="J31" s="3">
        <v>5.1386089631463436</v>
      </c>
      <c r="K31" s="3">
        <v>6.708758955015746</v>
      </c>
    </row>
    <row r="32" spans="1:11" x14ac:dyDescent="0.25">
      <c r="A32" s="4">
        <v>0.3</v>
      </c>
      <c r="B32" s="3">
        <v>5.3502278918888226</v>
      </c>
      <c r="C32" s="3">
        <v>5.9998806125118538</v>
      </c>
      <c r="D32" s="3">
        <v>5.3502278918888226</v>
      </c>
      <c r="E32" s="3">
        <v>5.3502278918888226</v>
      </c>
      <c r="F32" s="3">
        <v>5.3502302111432343</v>
      </c>
      <c r="G32" s="3">
        <v>5.3506355353344102</v>
      </c>
      <c r="H32" s="3">
        <v>5.3502278918888226</v>
      </c>
      <c r="I32" s="3">
        <v>6.8644288841446919</v>
      </c>
      <c r="J32" s="3">
        <v>5.3502278918888226</v>
      </c>
      <c r="K32" s="3">
        <v>7.0114717542467933</v>
      </c>
    </row>
    <row r="33" spans="1:11" x14ac:dyDescent="0.25">
      <c r="A33" s="4">
        <v>0.31</v>
      </c>
      <c r="B33" s="3">
        <v>5.5652551663936487</v>
      </c>
      <c r="C33" s="3">
        <v>6.2859557208547816</v>
      </c>
      <c r="D33" s="3">
        <v>5.5652551663936487</v>
      </c>
      <c r="E33" s="3">
        <v>5.5652551663936487</v>
      </c>
      <c r="F33" s="3">
        <v>5.5652609226874983</v>
      </c>
      <c r="G33" s="3">
        <v>5.5657438866725908</v>
      </c>
      <c r="H33" s="3">
        <v>5.5652551663936487</v>
      </c>
      <c r="I33" s="3">
        <v>7.1491057758340473</v>
      </c>
      <c r="J33" s="3">
        <v>5.5652551663936487</v>
      </c>
      <c r="K33" s="3">
        <v>7.3231891052337783</v>
      </c>
    </row>
    <row r="34" spans="1:11" x14ac:dyDescent="0.25">
      <c r="A34" s="4">
        <v>0.32</v>
      </c>
      <c r="B34" s="3">
        <v>5.783370130570801</v>
      </c>
      <c r="C34" s="3">
        <v>6.5807862995719217</v>
      </c>
      <c r="D34" s="3">
        <v>5.783370130570801</v>
      </c>
      <c r="E34" s="3">
        <v>5.783370130570801</v>
      </c>
      <c r="F34" s="3">
        <v>5.7833816301295826</v>
      </c>
      <c r="G34" s="3">
        <v>5.7839497806573714</v>
      </c>
      <c r="H34" s="3">
        <v>5.783370130570801</v>
      </c>
      <c r="I34" s="3">
        <v>7.4393658768651898</v>
      </c>
      <c r="J34" s="3">
        <v>5.783370130570801</v>
      </c>
      <c r="K34" s="3">
        <v>7.6436097601434208</v>
      </c>
    </row>
    <row r="35" spans="1:11" x14ac:dyDescent="0.25">
      <c r="A35" s="4">
        <v>0.33</v>
      </c>
      <c r="B35" s="3">
        <v>6.0044654351242697</v>
      </c>
      <c r="C35" s="3">
        <v>6.8833425644200954</v>
      </c>
      <c r="D35" s="3">
        <v>6.0044654351242697</v>
      </c>
      <c r="E35" s="3">
        <v>6.0044654351242697</v>
      </c>
      <c r="F35" s="3">
        <v>6.0044852071242802</v>
      </c>
      <c r="G35" s="3">
        <v>6.005154278945489</v>
      </c>
      <c r="H35" s="3">
        <v>6.0044654351242697</v>
      </c>
      <c r="I35" s="3">
        <v>7.735249366580665</v>
      </c>
      <c r="J35" s="3">
        <v>6.0044654351242697</v>
      </c>
      <c r="K35" s="3">
        <v>7.972340279254083</v>
      </c>
    </row>
    <row r="36" spans="1:11" x14ac:dyDescent="0.25">
      <c r="A36" s="4">
        <v>0.34</v>
      </c>
      <c r="B36" s="3">
        <v>6.229504124538459</v>
      </c>
      <c r="C36" s="3">
        <v>7.1932168677049297</v>
      </c>
      <c r="D36" s="3">
        <v>6.229504124538459</v>
      </c>
      <c r="E36" s="3">
        <v>6.229504124538459</v>
      </c>
      <c r="F36" s="3">
        <v>6.229536087665605</v>
      </c>
      <c r="G36" s="3">
        <v>6.2303227857170942</v>
      </c>
      <c r="H36" s="3">
        <v>6.229504124538459</v>
      </c>
      <c r="I36" s="3">
        <v>8.0363683231609091</v>
      </c>
      <c r="J36" s="3">
        <v>6.229504124538459</v>
      </c>
      <c r="K36" s="3">
        <v>8.3094144399000385</v>
      </c>
    </row>
    <row r="37" spans="1:11" x14ac:dyDescent="0.25">
      <c r="A37" s="4">
        <v>0.35</v>
      </c>
      <c r="B37" s="3">
        <v>6.4586174759244006</v>
      </c>
      <c r="C37" s="3">
        <v>7.5099324876619509</v>
      </c>
      <c r="D37" s="3">
        <v>6.4586174759244006</v>
      </c>
      <c r="E37" s="3">
        <v>6.4586174759244006</v>
      </c>
      <c r="F37" s="3">
        <v>6.4586663383923746</v>
      </c>
      <c r="G37" s="3">
        <v>6.4595838655520499</v>
      </c>
      <c r="H37" s="3">
        <v>6.4586174759244006</v>
      </c>
      <c r="I37" s="3">
        <v>8.343381051878648</v>
      </c>
      <c r="J37" s="3">
        <v>6.4586174759244006</v>
      </c>
      <c r="K37" s="3">
        <v>8.6553087805111328</v>
      </c>
    </row>
    <row r="38" spans="1:11" x14ac:dyDescent="0.25">
      <c r="A38" s="4">
        <v>0.36</v>
      </c>
      <c r="B38" s="3">
        <v>6.6919873797159788</v>
      </c>
      <c r="C38" s="3">
        <v>7.8363361557519138</v>
      </c>
      <c r="D38" s="3">
        <v>6.6919873797159788</v>
      </c>
      <c r="E38" s="3">
        <v>6.6919873797159788</v>
      </c>
      <c r="F38" s="3">
        <v>6.6920576037927324</v>
      </c>
      <c r="G38" s="3">
        <v>6.6931241650495563</v>
      </c>
      <c r="H38" s="3">
        <v>6.6919873797159788</v>
      </c>
      <c r="I38" s="3">
        <v>8.6565923861444016</v>
      </c>
      <c r="J38" s="3">
        <v>6.6919873797159788</v>
      </c>
      <c r="K38" s="3">
        <v>9.009616075313172</v>
      </c>
    </row>
    <row r="39" spans="1:11" x14ac:dyDescent="0.25">
      <c r="A39" s="4">
        <v>0.37</v>
      </c>
      <c r="B39" s="3">
        <v>6.9295994470538007</v>
      </c>
      <c r="C39" s="3">
        <v>8.1784161231099191</v>
      </c>
      <c r="D39" s="3">
        <v>6.9295994470538007</v>
      </c>
      <c r="E39" s="3">
        <v>6.9295994470538007</v>
      </c>
      <c r="F39" s="3">
        <v>6.9296947107013684</v>
      </c>
      <c r="G39" s="3">
        <v>6.9309263506979857</v>
      </c>
      <c r="H39" s="3">
        <v>6.9295994470538007</v>
      </c>
      <c r="I39" s="3">
        <v>8.9755096370059171</v>
      </c>
      <c r="J39" s="3">
        <v>6.9295994470538007</v>
      </c>
      <c r="K39" s="3">
        <v>9.3722425492241008</v>
      </c>
    </row>
    <row r="40" spans="1:11" x14ac:dyDescent="0.25">
      <c r="A40" s="4">
        <v>0.38</v>
      </c>
      <c r="B40" s="3">
        <v>7.1712784435925583</v>
      </c>
      <c r="C40" s="3">
        <v>8.5361100509179124</v>
      </c>
      <c r="D40" s="3">
        <v>7.1712784435925583</v>
      </c>
      <c r="E40" s="3">
        <v>7.1712784435925583</v>
      </c>
      <c r="F40" s="3">
        <v>7.1714030340517319</v>
      </c>
      <c r="G40" s="3">
        <v>7.1728220669848026</v>
      </c>
      <c r="H40" s="3">
        <v>7.1712784435925583</v>
      </c>
      <c r="I40" s="3">
        <v>9.2995562028007441</v>
      </c>
      <c r="J40" s="3">
        <v>7.1712784435925583</v>
      </c>
      <c r="K40" s="3">
        <v>9.7428641407144756</v>
      </c>
    </row>
    <row r="41" spans="1:11" x14ac:dyDescent="0.25">
      <c r="A41" s="4">
        <v>0.39</v>
      </c>
      <c r="B41" s="3">
        <v>7.4177102697243731</v>
      </c>
      <c r="C41" s="3">
        <v>8.9101227029353236</v>
      </c>
      <c r="D41" s="3">
        <v>7.4177102697243731</v>
      </c>
      <c r="E41" s="3">
        <v>7.4177102697243731</v>
      </c>
      <c r="F41" s="3">
        <v>7.4178684627285856</v>
      </c>
      <c r="G41" s="3">
        <v>7.4195001697505472</v>
      </c>
      <c r="H41" s="3">
        <v>7.4177102697243731</v>
      </c>
      <c r="I41" s="3">
        <v>9.6287059656986784</v>
      </c>
      <c r="J41" s="3">
        <v>7.4177102697243731</v>
      </c>
      <c r="K41" s="3">
        <v>10.123013286164911</v>
      </c>
    </row>
    <row r="42" spans="1:11" x14ac:dyDescent="0.25">
      <c r="A42" s="4">
        <v>0.4</v>
      </c>
      <c r="B42" s="3">
        <v>7.6688973624946373</v>
      </c>
      <c r="C42" s="3">
        <v>9.3028279509512686</v>
      </c>
      <c r="D42" s="3">
        <v>7.6688973624946373</v>
      </c>
      <c r="E42" s="3">
        <v>7.6688973624946373</v>
      </c>
      <c r="F42" s="3">
        <v>7.6690936225682957</v>
      </c>
      <c r="G42" s="3">
        <v>7.6709707167016994</v>
      </c>
      <c r="H42" s="3">
        <v>7.6688973624946373</v>
      </c>
      <c r="I42" s="3">
        <v>9.9640500044818676</v>
      </c>
      <c r="J42" s="3">
        <v>7.6688973624946373</v>
      </c>
      <c r="K42" s="3">
        <v>10.513157781363709</v>
      </c>
    </row>
    <row r="43" spans="1:11" x14ac:dyDescent="0.25">
      <c r="A43" s="4">
        <v>0.41</v>
      </c>
      <c r="B43" s="3">
        <v>7.9250419901587046</v>
      </c>
      <c r="C43" s="3">
        <v>9.7163762656375354</v>
      </c>
      <c r="D43" s="3">
        <v>7.9250419901587046</v>
      </c>
      <c r="E43" s="3">
        <v>7.9250419901587046</v>
      </c>
      <c r="F43" s="3">
        <v>7.9252796702158728</v>
      </c>
      <c r="G43" s="3">
        <v>7.9274334773967814</v>
      </c>
      <c r="H43" s="3">
        <v>7.9250419901587046</v>
      </c>
      <c r="I43" s="3">
        <v>10.3057489434396</v>
      </c>
      <c r="J43" s="3">
        <v>7.9250419901587046</v>
      </c>
      <c r="K43" s="3">
        <v>10.91299935991287</v>
      </c>
    </row>
    <row r="44" spans="1:11" x14ac:dyDescent="0.25">
      <c r="A44" s="4">
        <v>0.42</v>
      </c>
      <c r="B44" s="3">
        <v>8.1857820217142923</v>
      </c>
      <c r="C44" s="3">
        <v>10.15218294361213</v>
      </c>
      <c r="D44" s="3">
        <v>8.1857820217142923</v>
      </c>
      <c r="E44" s="3">
        <v>8.1857820217142923</v>
      </c>
      <c r="F44" s="3">
        <v>8.1860645054856214</v>
      </c>
      <c r="G44" s="3">
        <v>8.1885243102098055</v>
      </c>
      <c r="H44" s="3">
        <v>8.1857820217142923</v>
      </c>
      <c r="I44" s="3">
        <v>10.65461376275473</v>
      </c>
      <c r="J44" s="3">
        <v>8.1857820217142923</v>
      </c>
      <c r="K44" s="3">
        <v>11.32304439627811</v>
      </c>
    </row>
    <row r="45" spans="1:11" x14ac:dyDescent="0.25">
      <c r="A45" s="4">
        <v>0.43</v>
      </c>
      <c r="B45" s="3">
        <v>8.4509780194011022</v>
      </c>
      <c r="C45" s="3">
        <v>10.61896826078738</v>
      </c>
      <c r="D45" s="3">
        <v>8.4509780194011022</v>
      </c>
      <c r="E45" s="3">
        <v>8.4509780194011022</v>
      </c>
      <c r="F45" s="3">
        <v>8.4513110269662928</v>
      </c>
      <c r="G45" s="3">
        <v>8.4541083457388186</v>
      </c>
      <c r="H45" s="3">
        <v>8.4509780194011022</v>
      </c>
      <c r="I45" s="3">
        <v>11.01068853392934</v>
      </c>
      <c r="J45" s="3">
        <v>8.4509780194011022</v>
      </c>
      <c r="K45" s="3">
        <v>11.743161671789659</v>
      </c>
    </row>
    <row r="46" spans="1:11" x14ac:dyDescent="0.25">
      <c r="A46" s="4">
        <v>0.44</v>
      </c>
      <c r="B46" s="3">
        <v>8.7218889026611972</v>
      </c>
      <c r="C46" s="3">
        <v>11.11724211981338</v>
      </c>
      <c r="D46" s="3">
        <v>8.7218889026611972</v>
      </c>
      <c r="E46" s="3">
        <v>8.7218889026611972</v>
      </c>
      <c r="F46" s="3">
        <v>8.7222846032818246</v>
      </c>
      <c r="G46" s="3">
        <v>8.7254863465058481</v>
      </c>
      <c r="H46" s="3">
        <v>8.7218889026611972</v>
      </c>
      <c r="I46" s="3">
        <v>11.37396186956712</v>
      </c>
      <c r="J46" s="3">
        <v>8.7218889026611972</v>
      </c>
      <c r="K46" s="3">
        <v>12.17262625493278</v>
      </c>
    </row>
    <row r="47" spans="1:11" x14ac:dyDescent="0.25">
      <c r="A47" s="4">
        <v>0.45</v>
      </c>
      <c r="B47" s="3">
        <v>8.9998209187672167</v>
      </c>
      <c r="C47" s="3">
        <v>11.64625695988531</v>
      </c>
      <c r="D47" s="3">
        <v>8.9998209187672167</v>
      </c>
      <c r="E47" s="3">
        <v>8.9998209243347791</v>
      </c>
      <c r="F47" s="3">
        <v>9.0002875167416168</v>
      </c>
      <c r="G47" s="3">
        <v>9.0039310143207469</v>
      </c>
      <c r="H47" s="3">
        <v>8.9998209187672167</v>
      </c>
      <c r="I47" s="3">
        <v>11.74406166574984</v>
      </c>
      <c r="J47" s="3">
        <v>8.9998209243347791</v>
      </c>
      <c r="K47" s="3">
        <v>12.613152582985609</v>
      </c>
    </row>
    <row r="48" spans="1:11" x14ac:dyDescent="0.25">
      <c r="A48" s="4">
        <v>0.46</v>
      </c>
      <c r="B48" s="3">
        <v>9.2843517742072716</v>
      </c>
      <c r="C48" s="3">
        <v>12.20448867195797</v>
      </c>
      <c r="D48" s="3">
        <v>9.2843517742072716</v>
      </c>
      <c r="E48" s="3">
        <v>9.28435282892824</v>
      </c>
      <c r="F48" s="3">
        <v>9.2848957061758028</v>
      </c>
      <c r="G48" s="3">
        <v>9.2890141889073998</v>
      </c>
      <c r="H48" s="3">
        <v>9.2843517742072716</v>
      </c>
      <c r="I48" s="3">
        <v>12.12072112809517</v>
      </c>
      <c r="J48" s="3">
        <v>9.28435282892824</v>
      </c>
      <c r="K48" s="3">
        <v>13.06871514085188</v>
      </c>
    </row>
    <row r="49" spans="1:11" x14ac:dyDescent="0.25">
      <c r="A49" s="4">
        <v>0.47</v>
      </c>
      <c r="B49" s="3">
        <v>9.5749726272072682</v>
      </c>
      <c r="C49" s="3">
        <v>12.798278484881379</v>
      </c>
      <c r="D49" s="3">
        <v>9.5749726272072682</v>
      </c>
      <c r="E49" s="3">
        <v>9.5749764363194725</v>
      </c>
      <c r="F49" s="3">
        <v>9.5756008105490764</v>
      </c>
      <c r="G49" s="3">
        <v>9.580238099808021</v>
      </c>
      <c r="H49" s="3">
        <v>9.5749726272072682</v>
      </c>
      <c r="I49" s="3">
        <v>12.505494637784739</v>
      </c>
      <c r="J49" s="3">
        <v>9.5749764363194725</v>
      </c>
      <c r="K49" s="3">
        <v>13.544232968161751</v>
      </c>
    </row>
    <row r="50" spans="1:11" x14ac:dyDescent="0.25">
      <c r="A50" s="4">
        <v>0.48</v>
      </c>
      <c r="B50" s="3">
        <v>9.8711794493572729</v>
      </c>
      <c r="C50" s="3">
        <v>13.44719080545433</v>
      </c>
      <c r="D50" s="3">
        <v>9.8711794493572729</v>
      </c>
      <c r="E50" s="3">
        <v>9.8711875577061328</v>
      </c>
      <c r="F50" s="3">
        <v>9.8718996651930997</v>
      </c>
      <c r="G50" s="3">
        <v>9.8771033906044003</v>
      </c>
      <c r="H50" s="3">
        <v>9.8711794493572729</v>
      </c>
      <c r="I50" s="3">
        <v>12.90189593663394</v>
      </c>
      <c r="J50" s="3">
        <v>9.8711875577061328</v>
      </c>
      <c r="K50" s="3">
        <v>14.04504955350011</v>
      </c>
    </row>
    <row r="51" spans="1:11" x14ac:dyDescent="0.25">
      <c r="A51" s="4">
        <v>0.49</v>
      </c>
      <c r="B51" s="3">
        <v>10.172502774079939</v>
      </c>
      <c r="C51" s="3">
        <v>14.155082865667779</v>
      </c>
      <c r="D51" s="3">
        <v>10.17250277407995</v>
      </c>
      <c r="E51" s="3">
        <v>10.172516612918439</v>
      </c>
      <c r="F51" s="3">
        <v>10.17332338384778</v>
      </c>
      <c r="G51" s="3">
        <v>10.17914644704023</v>
      </c>
      <c r="H51" s="3">
        <v>10.17289059507994</v>
      </c>
      <c r="I51" s="3">
        <v>13.31427350985574</v>
      </c>
      <c r="J51" s="3">
        <v>10.17290428384192</v>
      </c>
      <c r="K51" s="3">
        <v>14.573411061298319</v>
      </c>
    </row>
    <row r="52" spans="1:11" x14ac:dyDescent="0.25">
      <c r="A52" s="4">
        <v>0.5</v>
      </c>
      <c r="B52" s="3">
        <v>10.47873530792082</v>
      </c>
      <c r="C52" s="3">
        <v>14.930189304074</v>
      </c>
      <c r="D52" s="3">
        <v>10.47873530792082</v>
      </c>
      <c r="E52" s="3">
        <v>10.478757141826719</v>
      </c>
      <c r="F52" s="3">
        <v>10.47966491564776</v>
      </c>
      <c r="G52" s="3">
        <v>10.48616640651947</v>
      </c>
      <c r="H52" s="3">
        <v>10.481615998321059</v>
      </c>
      <c r="I52" s="3">
        <v>13.74275184779937</v>
      </c>
      <c r="J52" s="3">
        <v>10.48163685585512</v>
      </c>
      <c r="K52" s="3">
        <v>15.131247468785279</v>
      </c>
    </row>
    <row r="53" spans="1:11" x14ac:dyDescent="0.25">
      <c r="A53" s="4">
        <v>0.51</v>
      </c>
      <c r="B53" s="3">
        <v>10.78982530155683</v>
      </c>
      <c r="C53" s="3">
        <v>15.776894658161639</v>
      </c>
      <c r="D53" s="3">
        <v>10.78982530155683</v>
      </c>
      <c r="E53" s="3">
        <v>10.78985775857727</v>
      </c>
      <c r="F53" s="3">
        <v>10.790874588699319</v>
      </c>
      <c r="G53" s="3">
        <v>10.798124182848969</v>
      </c>
      <c r="H53" s="3">
        <v>10.79745245262507</v>
      </c>
      <c r="I53" s="3">
        <v>14.185886698418519</v>
      </c>
      <c r="J53" s="3">
        <v>10.79748240789673</v>
      </c>
      <c r="K53" s="3">
        <v>15.72164104703036</v>
      </c>
    </row>
    <row r="54" spans="1:11" x14ac:dyDescent="0.25">
      <c r="A54" s="4">
        <v>0.52</v>
      </c>
      <c r="B54" s="3">
        <v>11.10546352976824</v>
      </c>
      <c r="C54" s="3">
        <v>16.696747900498689</v>
      </c>
      <c r="D54" s="3">
        <v>11.10546352976824</v>
      </c>
      <c r="E54" s="3">
        <v>11.10550896921383</v>
      </c>
      <c r="F54" s="3">
        <v>11.10664311109076</v>
      </c>
      <c r="G54" s="3">
        <v>11.114695559562641</v>
      </c>
      <c r="H54" s="3">
        <v>11.119933117313099</v>
      </c>
      <c r="I54" s="3">
        <v>14.643492966130021</v>
      </c>
      <c r="J54" s="3">
        <v>11.11997389529547</v>
      </c>
      <c r="K54" s="3">
        <v>16.344462228026192</v>
      </c>
    </row>
    <row r="55" spans="1:11" x14ac:dyDescent="0.25">
      <c r="A55" s="4">
        <v>0.53</v>
      </c>
      <c r="B55" s="3">
        <v>11.42581874009699</v>
      </c>
      <c r="C55" s="3">
        <v>17.713328871773491</v>
      </c>
      <c r="D55" s="3">
        <v>11.42581874009699</v>
      </c>
      <c r="E55" s="3">
        <v>11.42588096868411</v>
      </c>
      <c r="F55" s="3">
        <v>11.427155394232919</v>
      </c>
      <c r="G55" s="3">
        <v>11.436167655836609</v>
      </c>
      <c r="H55" s="3">
        <v>11.449449099129181</v>
      </c>
      <c r="I55" s="3">
        <v>15.116017682559701</v>
      </c>
      <c r="J55" s="3">
        <v>11.44950407867811</v>
      </c>
      <c r="K55" s="3">
        <v>17.009054692198099</v>
      </c>
    </row>
    <row r="56" spans="1:11" x14ac:dyDescent="0.25">
      <c r="A56" s="4">
        <v>0.54</v>
      </c>
      <c r="B56" s="3">
        <v>11.75450423362738</v>
      </c>
      <c r="C56" s="3">
        <v>18.839060509741511</v>
      </c>
      <c r="D56" s="3">
        <v>11.75450423362738</v>
      </c>
      <c r="E56" s="3">
        <v>11.754591741747509</v>
      </c>
      <c r="F56" s="3">
        <v>11.756063746408779</v>
      </c>
      <c r="G56" s="3">
        <v>11.76642144479948</v>
      </c>
      <c r="H56" s="3">
        <v>11.789487359011529</v>
      </c>
      <c r="I56" s="3">
        <v>15.60555280234602</v>
      </c>
      <c r="J56" s="3">
        <v>11.789563542194861</v>
      </c>
      <c r="K56" s="3">
        <v>17.721027869339899</v>
      </c>
    </row>
    <row r="57" spans="1:11" x14ac:dyDescent="0.25">
      <c r="A57" s="4">
        <v>0.55000000000000004</v>
      </c>
      <c r="B57" s="3">
        <v>12.093946582573331</v>
      </c>
      <c r="C57" s="3">
        <v>20.097327332599029</v>
      </c>
      <c r="D57" s="3">
        <v>12.093946582573331</v>
      </c>
      <c r="E57" s="3">
        <v>12.09406411456151</v>
      </c>
      <c r="F57" s="3">
        <v>12.095766129325581</v>
      </c>
      <c r="G57" s="3">
        <v>12.107609991234259</v>
      </c>
      <c r="H57" s="3">
        <v>12.142056498723759</v>
      </c>
      <c r="I57" s="3">
        <v>16.114735842555479</v>
      </c>
      <c r="J57" s="3">
        <v>12.142162463814721</v>
      </c>
      <c r="K57" s="3">
        <v>18.480179993542858</v>
      </c>
    </row>
    <row r="58" spans="1:11" x14ac:dyDescent="0.25">
      <c r="A58" s="4">
        <v>0.56000000000000005</v>
      </c>
      <c r="B58" s="3">
        <v>12.443875647913281</v>
      </c>
      <c r="C58" s="3">
        <v>21.51606316194205</v>
      </c>
      <c r="D58" s="3">
        <v>12.443875647913281</v>
      </c>
      <c r="E58" s="3">
        <v>12.44402710975942</v>
      </c>
      <c r="F58" s="3">
        <v>12.44599290714269</v>
      </c>
      <c r="G58" s="3">
        <v>12.459478724574261</v>
      </c>
      <c r="H58" s="3">
        <v>12.506828459459751</v>
      </c>
      <c r="I58" s="3">
        <v>16.645970003746179</v>
      </c>
      <c r="J58" s="3">
        <v>12.507151555980229</v>
      </c>
      <c r="K58" s="3">
        <v>19.289765548975701</v>
      </c>
    </row>
    <row r="59" spans="1:11" x14ac:dyDescent="0.25">
      <c r="A59" s="4">
        <v>0.56999999999999995</v>
      </c>
      <c r="B59" s="3">
        <v>12.804165076376311</v>
      </c>
      <c r="C59" s="3">
        <v>23.09955344901573</v>
      </c>
      <c r="D59" s="3">
        <v>12.804165076376311</v>
      </c>
      <c r="E59" s="3">
        <v>12.80435547349729</v>
      </c>
      <c r="F59" s="3">
        <v>12.806626507350771</v>
      </c>
      <c r="G59" s="3">
        <v>12.82197948204395</v>
      </c>
      <c r="H59" s="3">
        <v>12.884785309121989</v>
      </c>
      <c r="I59" s="3">
        <v>17.198635421920841</v>
      </c>
      <c r="J59" s="3">
        <v>12.8856992980842</v>
      </c>
      <c r="K59" s="3">
        <v>20.149418400988079</v>
      </c>
    </row>
    <row r="60" spans="1:11" x14ac:dyDescent="0.25">
      <c r="A60" s="4">
        <v>0.57999999999999996</v>
      </c>
      <c r="B60" s="3">
        <v>13.17546389518084</v>
      </c>
      <c r="C60" s="3">
        <v>24.849648110269531</v>
      </c>
      <c r="D60" s="3">
        <v>13.17546389518084</v>
      </c>
      <c r="E60" s="3">
        <v>13.17569787552593</v>
      </c>
      <c r="F60" s="3">
        <v>13.178309190079791</v>
      </c>
      <c r="G60" s="3">
        <v>13.195710007094879</v>
      </c>
      <c r="H60" s="3">
        <v>13.27544062058497</v>
      </c>
      <c r="I60" s="3">
        <v>17.772493941940159</v>
      </c>
      <c r="J60" s="3">
        <v>13.27748722443912</v>
      </c>
      <c r="K60" s="3">
        <v>21.065817302243079</v>
      </c>
    </row>
    <row r="61" spans="1:11" x14ac:dyDescent="0.25">
      <c r="A61" s="4">
        <v>0.59</v>
      </c>
      <c r="B61" s="3">
        <v>13.558020873237091</v>
      </c>
      <c r="C61" s="3">
        <v>26.76641545751853</v>
      </c>
      <c r="D61" s="3">
        <v>13.558020873237091</v>
      </c>
      <c r="E61" s="3">
        <v>13.55830609865041</v>
      </c>
      <c r="F61" s="3">
        <v>13.56131433772158</v>
      </c>
      <c r="G61" s="3">
        <v>13.58108326451825</v>
      </c>
      <c r="H61" s="3">
        <v>13.67859644478159</v>
      </c>
      <c r="I61" s="3">
        <v>18.369265031718481</v>
      </c>
      <c r="J61" s="3">
        <v>13.68252239765078</v>
      </c>
      <c r="K61" s="3">
        <v>22.051213862201799</v>
      </c>
    </row>
    <row r="62" spans="1:11" x14ac:dyDescent="0.25">
      <c r="A62" s="4">
        <v>0.6</v>
      </c>
      <c r="B62" s="3">
        <v>13.954241926426279</v>
      </c>
      <c r="C62" s="3">
        <v>28.908048291085141</v>
      </c>
      <c r="D62" s="3">
        <v>13.954241926426279</v>
      </c>
      <c r="E62" s="3">
        <v>13.95458755739296</v>
      </c>
      <c r="F62" s="3">
        <v>13.95806125759108</v>
      </c>
      <c r="G62" s="3">
        <v>13.98057696853825</v>
      </c>
      <c r="H62" s="3">
        <v>14.09568090060667</v>
      </c>
      <c r="I62" s="3">
        <v>18.988994771121611</v>
      </c>
      <c r="J62" s="3">
        <v>14.102154465083951</v>
      </c>
      <c r="K62" s="3">
        <v>23.11522862574828</v>
      </c>
    </row>
    <row r="63" spans="1:11" x14ac:dyDescent="0.25">
      <c r="A63" s="4">
        <v>0.61</v>
      </c>
      <c r="B63" s="3">
        <v>14.36440349376273</v>
      </c>
      <c r="C63" s="3">
        <v>31.289857202097661</v>
      </c>
      <c r="D63" s="3">
        <v>14.36440349376273</v>
      </c>
      <c r="E63" s="3">
        <v>14.364815245294039</v>
      </c>
      <c r="F63" s="3">
        <v>14.368802982905351</v>
      </c>
      <c r="G63" s="3">
        <v>14.394312163709261</v>
      </c>
      <c r="H63" s="3">
        <v>14.52717069264351</v>
      </c>
      <c r="I63" s="3">
        <v>19.630424604896909</v>
      </c>
      <c r="J63" s="3">
        <v>14.53704079968699</v>
      </c>
      <c r="K63" s="3">
        <v>24.287009051502249</v>
      </c>
    </row>
    <row r="64" spans="1:11" x14ac:dyDescent="0.25">
      <c r="A64" s="4">
        <v>0.62</v>
      </c>
      <c r="B64" s="3">
        <v>14.78806212740735</v>
      </c>
      <c r="C64" s="3">
        <v>33.944721332690492</v>
      </c>
      <c r="D64" s="3">
        <v>14.78806212740735</v>
      </c>
      <c r="E64" s="3">
        <v>14.788549740757031</v>
      </c>
      <c r="F64" s="3">
        <v>14.793112020523751</v>
      </c>
      <c r="G64" s="3">
        <v>14.82197174574099</v>
      </c>
      <c r="H64" s="3">
        <v>14.977231756165841</v>
      </c>
      <c r="I64" s="3">
        <v>20.293192666797779</v>
      </c>
      <c r="J64" s="3">
        <v>14.99325992064789</v>
      </c>
      <c r="K64" s="3">
        <v>25.577957092538409</v>
      </c>
    </row>
    <row r="65" spans="1:11" x14ac:dyDescent="0.25">
      <c r="A65" s="4">
        <v>0.63</v>
      </c>
      <c r="B65" s="3">
        <v>15.22827441541769</v>
      </c>
      <c r="C65" s="3">
        <v>36.97572046661827</v>
      </c>
      <c r="D65" s="3">
        <v>15.22827441541769</v>
      </c>
      <c r="E65" s="3">
        <v>15.22886878419871</v>
      </c>
      <c r="F65" s="3">
        <v>15.23417418379629</v>
      </c>
      <c r="G65" s="3">
        <v>15.26735632439585</v>
      </c>
      <c r="H65" s="3">
        <v>15.449754333223661</v>
      </c>
      <c r="I65" s="3">
        <v>20.98924216419082</v>
      </c>
      <c r="J65" s="3">
        <v>15.47436436001137</v>
      </c>
      <c r="K65" s="3">
        <v>27.029152617708011</v>
      </c>
    </row>
    <row r="66" spans="1:11" x14ac:dyDescent="0.25">
      <c r="A66" s="4">
        <v>0.64</v>
      </c>
      <c r="B66" s="3">
        <v>15.689633961254721</v>
      </c>
      <c r="C66" s="3">
        <v>41.05156672018547</v>
      </c>
      <c r="D66" s="3">
        <v>15.689635058545489</v>
      </c>
      <c r="E66" s="3">
        <v>15.69036234475492</v>
      </c>
      <c r="F66" s="3">
        <v>15.69653542655241</v>
      </c>
      <c r="G66" s="3">
        <v>15.734708756150679</v>
      </c>
      <c r="H66" s="3">
        <v>15.94528428036781</v>
      </c>
      <c r="I66" s="3">
        <v>21.727037073436321</v>
      </c>
      <c r="J66" s="3">
        <v>15.98045432055002</v>
      </c>
      <c r="K66" s="3">
        <v>28.75333857926487</v>
      </c>
    </row>
    <row r="67" spans="1:11" x14ac:dyDescent="0.25">
      <c r="A67" s="4">
        <v>0.65</v>
      </c>
      <c r="B67" s="3">
        <v>16.17249732656553</v>
      </c>
      <c r="C67" s="3">
        <v>50.630497165329501</v>
      </c>
      <c r="D67" s="3">
        <v>16.172504848167812</v>
      </c>
      <c r="E67" s="3">
        <v>16.17338130134808</v>
      </c>
      <c r="F67" s="3">
        <v>16.18053374614815</v>
      </c>
      <c r="G67" s="3">
        <v>16.224187633021341</v>
      </c>
      <c r="H67" s="3">
        <v>16.464081254794429</v>
      </c>
      <c r="I67" s="3">
        <v>22.50839096461657</v>
      </c>
      <c r="J67" s="3">
        <v>16.511942812234171</v>
      </c>
      <c r="K67" s="3">
        <v>30.80860564906693</v>
      </c>
    </row>
    <row r="68" spans="1:11" x14ac:dyDescent="0.25">
      <c r="A68" s="4">
        <v>0.66</v>
      </c>
      <c r="B68" s="3">
        <v>16.67586317971951</v>
      </c>
      <c r="C68" s="3">
        <v>86.721657059523153</v>
      </c>
      <c r="D68" s="3">
        <v>16.675882527086401</v>
      </c>
      <c r="E68" s="3">
        <v>16.676922521410258</v>
      </c>
      <c r="F68" s="3">
        <v>16.685166213312272</v>
      </c>
      <c r="G68" s="3">
        <v>16.73476324137928</v>
      </c>
      <c r="H68" s="3">
        <v>17.005404311126352</v>
      </c>
      <c r="I68" s="3">
        <v>23.337817587294001</v>
      </c>
      <c r="J68" s="3">
        <v>17.067970155113048</v>
      </c>
      <c r="K68" s="3">
        <v>33.266388031982324</v>
      </c>
    </row>
    <row r="69" spans="1:11" x14ac:dyDescent="0.25">
      <c r="A69" s="4">
        <v>0.67</v>
      </c>
      <c r="B69" s="3">
        <v>17.199840551918619</v>
      </c>
      <c r="D69" s="3">
        <v>17.199876748674811</v>
      </c>
      <c r="E69" s="3">
        <v>17.201097376131809</v>
      </c>
      <c r="F69" s="3">
        <v>17.21055996890265</v>
      </c>
      <c r="G69" s="3">
        <v>17.266499737913421</v>
      </c>
      <c r="H69" s="3">
        <v>17.567695465488161</v>
      </c>
      <c r="I69" s="3">
        <v>24.214373122960449</v>
      </c>
      <c r="J69" s="3">
        <v>17.647173355598181</v>
      </c>
      <c r="K69" s="3">
        <v>36.196588537326271</v>
      </c>
    </row>
    <row r="70" spans="1:11" x14ac:dyDescent="0.25">
      <c r="A70" s="4">
        <v>0.68</v>
      </c>
      <c r="B70" s="3">
        <v>17.743825222666231</v>
      </c>
      <c r="D70" s="3">
        <v>17.743882761500419</v>
      </c>
      <c r="E70" s="3">
        <v>17.74529907393395</v>
      </c>
      <c r="F70" s="3">
        <v>17.756104923511518</v>
      </c>
      <c r="G70" s="3">
        <v>17.818779557723541</v>
      </c>
      <c r="H70" s="3">
        <v>18.149793065155329</v>
      </c>
      <c r="I70" s="3">
        <v>25.138658701309438</v>
      </c>
      <c r="J70" s="3">
        <v>18.249483527752361</v>
      </c>
      <c r="K70" s="3">
        <v>39.850882401334488</v>
      </c>
    </row>
    <row r="71" spans="1:11" x14ac:dyDescent="0.25">
      <c r="A71" s="4">
        <v>0.69</v>
      </c>
      <c r="B71" s="3">
        <v>18.306733007936451</v>
      </c>
      <c r="D71" s="3">
        <v>18.30681594025226</v>
      </c>
      <c r="E71" s="3">
        <v>18.308446256961641</v>
      </c>
      <c r="F71" s="3">
        <v>18.32073799606643</v>
      </c>
      <c r="G71" s="3">
        <v>18.390646098785631</v>
      </c>
      <c r="H71" s="3">
        <v>18.751590288035079</v>
      </c>
      <c r="I71" s="3">
        <v>26.112222885369398</v>
      </c>
      <c r="J71" s="3">
        <v>18.874326339794891</v>
      </c>
      <c r="K71" s="3">
        <v>45.021695803197268</v>
      </c>
    </row>
    <row r="72" spans="1:11" x14ac:dyDescent="0.25">
      <c r="A72" s="4">
        <v>0.7</v>
      </c>
      <c r="B72" s="3">
        <v>18.891535362855251</v>
      </c>
      <c r="D72" s="3">
        <v>18.891658868388941</v>
      </c>
      <c r="E72" s="3">
        <v>18.893614147666</v>
      </c>
      <c r="F72" s="3">
        <v>18.908185020002762</v>
      </c>
      <c r="G72" s="3">
        <v>18.989670547185021</v>
      </c>
      <c r="H72" s="3">
        <v>19.37340055925754</v>
      </c>
      <c r="I72" s="3">
        <v>27.13497553132083</v>
      </c>
      <c r="J72" s="3">
        <v>19.523495012664618</v>
      </c>
      <c r="K72" s="3">
        <v>53.350086139445366</v>
      </c>
    </row>
    <row r="73" spans="1:11" x14ac:dyDescent="0.25">
      <c r="A73" s="4">
        <v>0.71</v>
      </c>
      <c r="B73" s="3">
        <v>19.5124923643207</v>
      </c>
      <c r="D73" s="3">
        <v>19.512677955666099</v>
      </c>
      <c r="E73" s="3">
        <v>19.51507269550012</v>
      </c>
      <c r="F73" s="3">
        <v>19.532674585632648</v>
      </c>
      <c r="G73" s="3">
        <v>19.628602859780479</v>
      </c>
      <c r="H73" s="3">
        <v>20.028555694724862</v>
      </c>
      <c r="I73" s="3">
        <v>28.207039191302162</v>
      </c>
      <c r="J73" s="3">
        <v>20.212234844800829</v>
      </c>
      <c r="K73" s="3">
        <v>70.754838915190859</v>
      </c>
    </row>
    <row r="74" spans="1:11" x14ac:dyDescent="0.25">
      <c r="A74" s="4">
        <v>0.72</v>
      </c>
      <c r="B74" s="3">
        <v>20.170786208180989</v>
      </c>
      <c r="D74" s="3">
        <v>20.17105158594854</v>
      </c>
      <c r="E74" s="3">
        <v>20.173987034301121</v>
      </c>
      <c r="F74" s="3">
        <v>20.19507690392394</v>
      </c>
      <c r="G74" s="3">
        <v>20.30755149470054</v>
      </c>
      <c r="H74" s="3">
        <v>20.7219492358841</v>
      </c>
      <c r="I74" s="3">
        <v>29.346212412333308</v>
      </c>
      <c r="J74" s="3">
        <v>20.94483322886035</v>
      </c>
    </row>
    <row r="75" spans="1:11" x14ac:dyDescent="0.25">
      <c r="A75" s="4">
        <v>0.73</v>
      </c>
      <c r="B75" s="3">
        <v>20.867961271916059</v>
      </c>
      <c r="D75" s="3">
        <v>20.868324992806361</v>
      </c>
      <c r="E75" s="3">
        <v>20.87193366209349</v>
      </c>
      <c r="F75" s="3">
        <v>20.897174053107548</v>
      </c>
      <c r="G75" s="3">
        <v>21.029251841667751</v>
      </c>
      <c r="H75" s="3">
        <v>21.456236422163911</v>
      </c>
      <c r="I75" s="3">
        <v>30.578834595359481</v>
      </c>
      <c r="J75" s="3">
        <v>21.721976074292659</v>
      </c>
    </row>
    <row r="76" spans="1:11" x14ac:dyDescent="0.25">
      <c r="A76" s="4">
        <v>0.74</v>
      </c>
      <c r="B76" s="3">
        <v>21.608351048257038</v>
      </c>
      <c r="D76" s="3">
        <v>21.608833444418611</v>
      </c>
      <c r="E76" s="3">
        <v>21.613260797660381</v>
      </c>
      <c r="F76" s="3">
        <v>21.643363675870368</v>
      </c>
      <c r="G76" s="3">
        <v>21.79790231291155</v>
      </c>
      <c r="H76" s="3">
        <v>22.232160985195691</v>
      </c>
      <c r="I76" s="3">
        <v>31.93231355113582</v>
      </c>
      <c r="J76" s="3">
        <v>22.547523571181031</v>
      </c>
    </row>
    <row r="77" spans="1:11" x14ac:dyDescent="0.25">
      <c r="A77" s="4">
        <v>0.75</v>
      </c>
      <c r="B77" s="3">
        <v>22.395237399105959</v>
      </c>
      <c r="D77" s="3">
        <v>22.395858739732521</v>
      </c>
      <c r="E77" s="3">
        <v>22.40128439079232</v>
      </c>
      <c r="F77" s="3">
        <v>22.437134911532031</v>
      </c>
      <c r="G77" s="3">
        <v>22.617748260966898</v>
      </c>
      <c r="H77" s="3">
        <v>23.051158578063049</v>
      </c>
      <c r="I77" s="3">
        <v>33.421175628632191</v>
      </c>
      <c r="J77" s="3">
        <v>23.421197939028591</v>
      </c>
    </row>
    <row r="78" spans="1:11" x14ac:dyDescent="0.25">
      <c r="A78" s="4">
        <v>0.76</v>
      </c>
      <c r="B78" s="3">
        <v>23.23013237819956</v>
      </c>
      <c r="D78" s="3">
        <v>23.230908288159881</v>
      </c>
      <c r="E78" s="3">
        <v>23.237487808930268</v>
      </c>
      <c r="F78" s="3">
        <v>23.279893220384469</v>
      </c>
      <c r="G78" s="3">
        <v>23.489464844201109</v>
      </c>
      <c r="H78" s="3">
        <v>23.91199025421362</v>
      </c>
      <c r="I78" s="3">
        <v>35.061546103992683</v>
      </c>
      <c r="J78" s="3">
        <v>24.34380261516344</v>
      </c>
    </row>
    <row r="79" spans="1:11" x14ac:dyDescent="0.25">
      <c r="A79" s="4">
        <v>0.77</v>
      </c>
      <c r="B79" s="3">
        <v>24.111822739799891</v>
      </c>
      <c r="D79" s="3">
        <v>24.11277910751528</v>
      </c>
      <c r="E79" s="3">
        <v>24.120659664058788</v>
      </c>
      <c r="F79" s="3">
        <v>24.170459781960279</v>
      </c>
      <c r="G79" s="3">
        <v>24.412122801827799</v>
      </c>
      <c r="H79" s="3">
        <v>24.816471105318222</v>
      </c>
      <c r="I79" s="3">
        <v>36.848251670773593</v>
      </c>
      <c r="J79" s="3">
        <v>25.333371869291089</v>
      </c>
    </row>
    <row r="80" spans="1:11" x14ac:dyDescent="0.25">
      <c r="A80" s="4">
        <v>0.78</v>
      </c>
      <c r="B80" s="3">
        <v>25.04489360828466</v>
      </c>
      <c r="D80" s="3">
        <v>25.046105228007171</v>
      </c>
      <c r="E80" s="3">
        <v>25.055737725166161</v>
      </c>
      <c r="F80" s="3">
        <v>25.11553649625623</v>
      </c>
      <c r="G80" s="3">
        <v>25.400935734040551</v>
      </c>
      <c r="H80" s="3">
        <v>25.786045497943949</v>
      </c>
      <c r="I80" s="3">
        <v>38.780536625907679</v>
      </c>
      <c r="J80" s="3">
        <v>26.39826747627103</v>
      </c>
    </row>
    <row r="81" spans="1:10" x14ac:dyDescent="0.25">
      <c r="A81" s="4">
        <v>0.79</v>
      </c>
      <c r="B81" s="3">
        <v>26.044665622266869</v>
      </c>
      <c r="D81" s="3">
        <v>26.04620699942399</v>
      </c>
      <c r="E81" s="3">
        <v>26.058052597537081</v>
      </c>
      <c r="F81" s="3">
        <v>26.12986964646764</v>
      </c>
      <c r="G81" s="3">
        <v>26.46453228186785</v>
      </c>
      <c r="H81" s="3">
        <v>26.82876714717284</v>
      </c>
      <c r="I81" s="3">
        <v>40.859787255923742</v>
      </c>
      <c r="J81" s="3">
        <v>27.546103032319031</v>
      </c>
    </row>
    <row r="82" spans="1:10" x14ac:dyDescent="0.25">
      <c r="A82" s="4">
        <v>0.8</v>
      </c>
      <c r="B82" s="3">
        <v>27.112251159909121</v>
      </c>
      <c r="D82" s="3">
        <v>27.11420456192845</v>
      </c>
      <c r="E82" s="3">
        <v>27.12872983147869</v>
      </c>
      <c r="F82" s="3">
        <v>27.214561124661849</v>
      </c>
      <c r="G82" s="3">
        <v>27.608005599673469</v>
      </c>
      <c r="H82" s="3">
        <v>27.95078757185518</v>
      </c>
      <c r="I82" s="3">
        <v>43.083071724069512</v>
      </c>
      <c r="J82" s="3">
        <v>28.788456930375489</v>
      </c>
    </row>
    <row r="83" spans="1:10" x14ac:dyDescent="0.25">
      <c r="A83" s="4">
        <v>0.81</v>
      </c>
      <c r="B83" s="3">
        <v>28.25795230656944</v>
      </c>
      <c r="D83" s="3">
        <v>28.26048040980131</v>
      </c>
      <c r="E83" s="3">
        <v>28.27856894703493</v>
      </c>
      <c r="F83" s="3">
        <v>28.382292151966428</v>
      </c>
      <c r="G83" s="3">
        <v>28.84801167179193</v>
      </c>
      <c r="H83" s="3">
        <v>29.16087394220132</v>
      </c>
      <c r="I83" s="3">
        <v>45.452504378665907</v>
      </c>
      <c r="J83" s="3">
        <v>30.14313564806357</v>
      </c>
    </row>
    <row r="84" spans="1:10" x14ac:dyDescent="0.25">
      <c r="A84" s="4">
        <v>0.82</v>
      </c>
      <c r="B84" s="3">
        <v>29.49227012098439</v>
      </c>
      <c r="D84" s="3">
        <v>29.495510699463608</v>
      </c>
      <c r="E84" s="3">
        <v>29.518011866492589</v>
      </c>
      <c r="F84" s="3">
        <v>29.642673772876329</v>
      </c>
      <c r="G84" s="3">
        <v>30.191484771815791</v>
      </c>
      <c r="H84" s="3">
        <v>30.462898095719709</v>
      </c>
      <c r="I84" s="3">
        <v>48.001843308884091</v>
      </c>
      <c r="J84" s="3">
        <v>31.731511654889289</v>
      </c>
    </row>
    <row r="85" spans="1:10" x14ac:dyDescent="0.25">
      <c r="A85" s="4">
        <v>0.83</v>
      </c>
      <c r="B85" s="3">
        <v>30.826009232835979</v>
      </c>
      <c r="D85" s="3">
        <v>30.830182400430211</v>
      </c>
      <c r="E85" s="3">
        <v>30.858420455614699</v>
      </c>
      <c r="F85" s="3">
        <v>31.009419702113941</v>
      </c>
      <c r="G85" s="3">
        <v>31.6566451949823</v>
      </c>
      <c r="H85" s="3">
        <v>31.925916750336729</v>
      </c>
      <c r="I85" s="3">
        <v>50.798136790992373</v>
      </c>
      <c r="J85" s="3">
        <v>33.605909144793337</v>
      </c>
    </row>
    <row r="86" spans="1:10" x14ac:dyDescent="0.25">
      <c r="A86" s="4">
        <v>0.84</v>
      </c>
      <c r="B86" s="3">
        <v>32.272650693557402</v>
      </c>
      <c r="D86" s="3">
        <v>32.278007114203071</v>
      </c>
      <c r="E86" s="3">
        <v>32.312992292630469</v>
      </c>
      <c r="F86" s="3">
        <v>32.493991407817227</v>
      </c>
      <c r="G86" s="3">
        <v>33.24779552132582</v>
      </c>
      <c r="H86" s="3">
        <v>33.596841842685663</v>
      </c>
      <c r="I86" s="3">
        <v>53.905015274082317</v>
      </c>
      <c r="J86" s="3">
        <v>35.773299244939182</v>
      </c>
    </row>
    <row r="87" spans="1:10" x14ac:dyDescent="0.25">
      <c r="A87" s="4">
        <v>0.85</v>
      </c>
      <c r="B87" s="3">
        <v>33.828617042254088</v>
      </c>
      <c r="D87" s="3">
        <v>33.83547400093655</v>
      </c>
      <c r="E87" s="3">
        <v>33.878049472238438</v>
      </c>
      <c r="F87" s="3">
        <v>34.092129966600382</v>
      </c>
      <c r="G87" s="3">
        <v>34.959850864084572</v>
      </c>
      <c r="H87" s="3">
        <v>35.47324888328852</v>
      </c>
      <c r="I87" s="3">
        <v>57.333177333029653</v>
      </c>
      <c r="J87" s="3">
        <v>38.242105225584758</v>
      </c>
    </row>
    <row r="88" spans="1:10" x14ac:dyDescent="0.25">
      <c r="A88" s="4">
        <v>0.86</v>
      </c>
      <c r="B88" s="3">
        <v>35.493884263420433</v>
      </c>
      <c r="D88" s="3">
        <v>35.502627478756601</v>
      </c>
      <c r="E88" s="3">
        <v>35.554137334325539</v>
      </c>
      <c r="F88" s="3">
        <v>35.806270300203423</v>
      </c>
      <c r="G88" s="3">
        <v>36.800785396884322</v>
      </c>
      <c r="H88" s="3">
        <v>37.558548897157003</v>
      </c>
      <c r="I88" s="3">
        <v>61.070088189697188</v>
      </c>
      <c r="J88" s="3">
        <v>41.137282835294037</v>
      </c>
    </row>
    <row r="89" spans="1:10" x14ac:dyDescent="0.25">
      <c r="A89" s="4">
        <v>0.87</v>
      </c>
      <c r="B89" s="3">
        <v>37.271519644220469</v>
      </c>
      <c r="D89" s="3">
        <v>37.282523796941327</v>
      </c>
      <c r="E89" s="3">
        <v>37.344159201281087</v>
      </c>
      <c r="F89" s="3">
        <v>37.638126691440569</v>
      </c>
      <c r="G89" s="3">
        <v>38.770515320415832</v>
      </c>
      <c r="H89" s="3">
        <v>39.8632322335352</v>
      </c>
      <c r="I89" s="3">
        <v>65.091267658327794</v>
      </c>
      <c r="J89" s="3">
        <v>44.701023963625303</v>
      </c>
    </row>
    <row r="90" spans="1:10" x14ac:dyDescent="0.25">
      <c r="A90" s="4">
        <v>0.88</v>
      </c>
      <c r="B90" s="3">
        <v>39.156191438788127</v>
      </c>
      <c r="D90" s="3">
        <v>39.169827050378871</v>
      </c>
      <c r="E90" s="3">
        <v>39.243051364850153</v>
      </c>
      <c r="F90" s="3">
        <v>39.585718861225622</v>
      </c>
      <c r="G90" s="3">
        <v>40.903659451274869</v>
      </c>
      <c r="H90" s="3">
        <v>42.456773929055487</v>
      </c>
      <c r="I90" s="3">
        <v>69.384298923139724</v>
      </c>
      <c r="J90" s="3">
        <v>49.155945503251793</v>
      </c>
    </row>
    <row r="91" spans="1:10" x14ac:dyDescent="0.25">
      <c r="A91" s="4">
        <v>0.89</v>
      </c>
      <c r="B91" s="3">
        <v>41.174926611435723</v>
      </c>
      <c r="D91" s="3">
        <v>41.192525523879368</v>
      </c>
      <c r="E91" s="3">
        <v>41.283289883149827</v>
      </c>
      <c r="F91" s="3">
        <v>41.69222502074151</v>
      </c>
      <c r="G91" s="3">
        <v>43.229926960870287</v>
      </c>
      <c r="H91" s="3">
        <v>45.443744483337973</v>
      </c>
      <c r="I91" s="3">
        <v>74.062099094847966</v>
      </c>
      <c r="J91" s="3">
        <v>54.587102419426813</v>
      </c>
    </row>
    <row r="92" spans="1:10" x14ac:dyDescent="0.25">
      <c r="A92" s="4">
        <v>0.9</v>
      </c>
      <c r="B92" s="3">
        <v>43.355854953650621</v>
      </c>
      <c r="D92" s="3">
        <v>43.378205126977321</v>
      </c>
      <c r="E92" s="3">
        <v>43.489249176896053</v>
      </c>
      <c r="F92" s="3">
        <v>43.970509514823171</v>
      </c>
      <c r="G92" s="3">
        <v>45.749864051091862</v>
      </c>
      <c r="H92" s="3">
        <v>48.802448223149547</v>
      </c>
      <c r="I92" s="3">
        <v>79.276230038801813</v>
      </c>
      <c r="J92" s="3">
        <v>61.992606810919909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workbookViewId="0">
      <selection activeCell="B1" sqref="B1:B1048576"/>
    </sheetView>
  </sheetViews>
  <sheetFormatPr defaultRowHeight="15" x14ac:dyDescent="0.25"/>
  <cols>
    <col min="1" max="1" width="9.5703125" style="3" bestFit="1" customWidth="1"/>
    <col min="2" max="2" width="8.5703125" style="3" bestFit="1" customWidth="1"/>
    <col min="3" max="3" width="19.85546875" style="3" bestFit="1" customWidth="1"/>
    <col min="4" max="5" width="12" style="3" bestFit="1" customWidth="1"/>
    <col min="6" max="6" width="13.7109375" style="3" bestFit="1" customWidth="1"/>
    <col min="7" max="7" width="14.7109375" style="3" bestFit="1" customWidth="1"/>
    <col min="8" max="9" width="10" style="3" bestFit="1" customWidth="1"/>
    <col min="10" max="11" width="13.28515625" style="3" bestFit="1" customWidth="1"/>
    <col min="12" max="16384" width="9.140625" style="3"/>
  </cols>
  <sheetData>
    <row r="1" spans="1:11" x14ac:dyDescent="0.25">
      <c r="A1" s="4" t="s">
        <v>9</v>
      </c>
      <c r="B1" s="4" t="s">
        <v>41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x14ac:dyDescent="0.25">
      <c r="A2" s="4">
        <v>0</v>
      </c>
      <c r="B2" s="3">
        <v>7.8350818796393144E-11</v>
      </c>
      <c r="C2" s="3">
        <v>7.8350818796393144E-11</v>
      </c>
      <c r="D2" s="3">
        <v>7.8350818796393144E-11</v>
      </c>
      <c r="E2" s="3">
        <v>7.8350818796393144E-11</v>
      </c>
      <c r="F2" s="3">
        <v>7.8350818796393144E-11</v>
      </c>
      <c r="G2" s="3">
        <v>7.8350818796393144E-11</v>
      </c>
      <c r="H2" s="3">
        <v>7.8350818796393144E-11</v>
      </c>
      <c r="I2" s="3">
        <v>7.8350818796393144E-11</v>
      </c>
      <c r="J2" s="3">
        <v>7.8350818796393144E-11</v>
      </c>
      <c r="K2" s="3">
        <v>7.8350818796393144E-11</v>
      </c>
    </row>
    <row r="3" spans="1:11" x14ac:dyDescent="0.25">
      <c r="A3" s="4">
        <v>0.01</v>
      </c>
      <c r="B3" s="3">
        <v>0.17562551646168151</v>
      </c>
      <c r="C3" s="3">
        <v>0.1812911572057346</v>
      </c>
      <c r="D3" s="3">
        <v>0.17562551646168151</v>
      </c>
      <c r="E3" s="3">
        <v>0.17562551646168151</v>
      </c>
      <c r="F3" s="3">
        <v>0.17562551646168151</v>
      </c>
      <c r="G3" s="3">
        <v>0.17562551646168151</v>
      </c>
      <c r="H3" s="3">
        <v>0.17562551646168151</v>
      </c>
      <c r="I3" s="3">
        <v>0.2264808094836728</v>
      </c>
      <c r="J3" s="3">
        <v>0.17562551646168151</v>
      </c>
      <c r="K3" s="3">
        <v>0.2264808094836728</v>
      </c>
    </row>
    <row r="4" spans="1:11" x14ac:dyDescent="0.25">
      <c r="A4" s="4">
        <v>0.02</v>
      </c>
      <c r="B4" s="3">
        <v>0.36985159546471202</v>
      </c>
      <c r="C4" s="3">
        <v>0.3781107867343414</v>
      </c>
      <c r="D4" s="3">
        <v>0.36985159546471191</v>
      </c>
      <c r="E4" s="3">
        <v>0.36985159546471191</v>
      </c>
      <c r="F4" s="3">
        <v>0.36985159546471191</v>
      </c>
      <c r="G4" s="3">
        <v>0.36985159546471191</v>
      </c>
      <c r="H4" s="3">
        <v>0.36985159546471191</v>
      </c>
      <c r="I4" s="3">
        <v>0.47258141620884092</v>
      </c>
      <c r="J4" s="3">
        <v>0.36985159546471191</v>
      </c>
      <c r="K4" s="3">
        <v>0.47258141620884092</v>
      </c>
    </row>
    <row r="5" spans="1:11" x14ac:dyDescent="0.25">
      <c r="A5" s="4">
        <v>0.03</v>
      </c>
      <c r="B5" s="3">
        <v>0.56716618010062037</v>
      </c>
      <c r="C5" s="3">
        <v>0.57620347357120649</v>
      </c>
      <c r="D5" s="3">
        <v>0.56716618010062037</v>
      </c>
      <c r="E5" s="3">
        <v>0.56716618010062037</v>
      </c>
      <c r="F5" s="3">
        <v>0.56716618010062037</v>
      </c>
      <c r="G5" s="3">
        <v>0.56716618010062037</v>
      </c>
      <c r="H5" s="3">
        <v>0.56716618010062037</v>
      </c>
      <c r="I5" s="3">
        <v>0.72116039974268342</v>
      </c>
      <c r="J5" s="3">
        <v>0.56716618010062037</v>
      </c>
      <c r="K5" s="3">
        <v>0.72116039974268342</v>
      </c>
    </row>
    <row r="6" spans="1:11" x14ac:dyDescent="0.25">
      <c r="A6" s="4">
        <v>0.04</v>
      </c>
      <c r="B6" s="3">
        <v>0.7651837306025504</v>
      </c>
      <c r="C6" s="3">
        <v>0.77459312636569766</v>
      </c>
      <c r="D6" s="3">
        <v>0.7651837306025504</v>
      </c>
      <c r="E6" s="3">
        <v>0.7651837306025504</v>
      </c>
      <c r="F6" s="3">
        <v>0.7651837306025504</v>
      </c>
      <c r="G6" s="3">
        <v>0.7651837306025504</v>
      </c>
      <c r="H6" s="3">
        <v>0.7651837306025504</v>
      </c>
      <c r="I6" s="3">
        <v>0.97031486575104087</v>
      </c>
      <c r="J6" s="3">
        <v>0.7651837306025504</v>
      </c>
      <c r="K6" s="3">
        <v>0.97031486575104087</v>
      </c>
    </row>
    <row r="7" spans="1:11" x14ac:dyDescent="0.25">
      <c r="A7" s="4">
        <v>0.05</v>
      </c>
      <c r="B7" s="3">
        <v>0.9634709128223522</v>
      </c>
      <c r="C7" s="3">
        <v>0.97322517978496959</v>
      </c>
      <c r="D7" s="3">
        <v>0.9634709128223522</v>
      </c>
      <c r="E7" s="3">
        <v>0.9634709128223522</v>
      </c>
      <c r="F7" s="3">
        <v>0.9634709128223522</v>
      </c>
      <c r="G7" s="3">
        <v>0.9634709128223522</v>
      </c>
      <c r="H7" s="3">
        <v>0.9634709128223522</v>
      </c>
      <c r="I7" s="3">
        <v>1.219692192550077</v>
      </c>
      <c r="J7" s="3">
        <v>0.9634709128223522</v>
      </c>
      <c r="K7" s="3">
        <v>1.219692192550077</v>
      </c>
    </row>
    <row r="8" spans="1:11" x14ac:dyDescent="0.25">
      <c r="A8" s="4">
        <v>0.06</v>
      </c>
      <c r="B8" s="3">
        <v>1.161889689547716</v>
      </c>
      <c r="C8" s="3">
        <v>1.1746345608483071</v>
      </c>
      <c r="D8" s="3">
        <v>1.161889689547716</v>
      </c>
      <c r="E8" s="3">
        <v>1.161889689547716</v>
      </c>
      <c r="F8" s="3">
        <v>1.161889689547716</v>
      </c>
      <c r="G8" s="3">
        <v>1.161889689547716</v>
      </c>
      <c r="H8" s="3">
        <v>1.161889689547716</v>
      </c>
      <c r="I8" s="3">
        <v>1.469178899850736</v>
      </c>
      <c r="J8" s="3">
        <v>1.161889689547716</v>
      </c>
      <c r="K8" s="3">
        <v>1.469178899850736</v>
      </c>
    </row>
    <row r="9" spans="1:11" x14ac:dyDescent="0.25">
      <c r="A9" s="4">
        <v>7.0000000000000007E-2</v>
      </c>
      <c r="B9" s="3">
        <v>1.360382480792381</v>
      </c>
      <c r="C9" s="3">
        <v>1.3785907729229181</v>
      </c>
      <c r="D9" s="3">
        <v>1.360382480792381</v>
      </c>
      <c r="E9" s="3">
        <v>1.360382480792381</v>
      </c>
      <c r="F9" s="3">
        <v>1.360382480792381</v>
      </c>
      <c r="G9" s="3">
        <v>1.360382480792381</v>
      </c>
      <c r="H9" s="3">
        <v>1.360382480792381</v>
      </c>
      <c r="I9" s="3">
        <v>1.7193216483779781</v>
      </c>
      <c r="J9" s="3">
        <v>1.360382480792381</v>
      </c>
      <c r="K9" s="3">
        <v>1.7193216483779781</v>
      </c>
    </row>
    <row r="10" spans="1:11" x14ac:dyDescent="0.25">
      <c r="A10" s="4">
        <v>0.08</v>
      </c>
      <c r="B10" s="3">
        <v>1.5599809673886349</v>
      </c>
      <c r="C10" s="3">
        <v>1.585208134046155</v>
      </c>
      <c r="D10" s="3">
        <v>1.5599809673886349</v>
      </c>
      <c r="E10" s="3">
        <v>1.5599809673886349</v>
      </c>
      <c r="F10" s="3">
        <v>1.5599809673886349</v>
      </c>
      <c r="G10" s="3">
        <v>1.5599809673886349</v>
      </c>
      <c r="H10" s="3">
        <v>1.5599809673886349</v>
      </c>
      <c r="I10" s="3">
        <v>1.9720580574860189</v>
      </c>
      <c r="J10" s="3">
        <v>1.5599809673886349</v>
      </c>
      <c r="K10" s="3">
        <v>1.9720580574860189</v>
      </c>
    </row>
    <row r="11" spans="1:11" x14ac:dyDescent="0.25">
      <c r="A11" s="4">
        <v>0.09</v>
      </c>
      <c r="B11" s="3">
        <v>1.761951841271616</v>
      </c>
      <c r="C11" s="3">
        <v>1.79441075752014</v>
      </c>
      <c r="D11" s="3">
        <v>1.761951841271616</v>
      </c>
      <c r="E11" s="3">
        <v>1.761951841271616</v>
      </c>
      <c r="F11" s="3">
        <v>1.761951841271616</v>
      </c>
      <c r="G11" s="3">
        <v>1.761951841271616</v>
      </c>
      <c r="H11" s="3">
        <v>1.761951841271616</v>
      </c>
      <c r="I11" s="3">
        <v>2.226721654888367</v>
      </c>
      <c r="J11" s="3">
        <v>1.761951841271616</v>
      </c>
      <c r="K11" s="3">
        <v>2.226721654888367</v>
      </c>
    </row>
    <row r="12" spans="1:11" x14ac:dyDescent="0.25">
      <c r="A12" s="4">
        <v>0.1</v>
      </c>
      <c r="B12" s="3">
        <v>1.965591017190357</v>
      </c>
      <c r="C12" s="3">
        <v>2.0067143396318801</v>
      </c>
      <c r="D12" s="3">
        <v>1.965591017190357</v>
      </c>
      <c r="E12" s="3">
        <v>1.965591017190357</v>
      </c>
      <c r="F12" s="3">
        <v>1.965591017190357</v>
      </c>
      <c r="G12" s="3">
        <v>1.965591017190357</v>
      </c>
      <c r="H12" s="3">
        <v>1.965591017190357</v>
      </c>
      <c r="I12" s="3">
        <v>2.4827194705283802</v>
      </c>
      <c r="J12" s="3">
        <v>1.965591017190357</v>
      </c>
      <c r="K12" s="3">
        <v>2.4827194705283802</v>
      </c>
    </row>
    <row r="13" spans="1:11" x14ac:dyDescent="0.25">
      <c r="A13" s="4">
        <v>0.11</v>
      </c>
      <c r="B13" s="3">
        <v>2.1706663583278019</v>
      </c>
      <c r="C13" s="3">
        <v>2.222189481750223</v>
      </c>
      <c r="D13" s="3">
        <v>2.1706663583278019</v>
      </c>
      <c r="E13" s="3">
        <v>2.1706663583278019</v>
      </c>
      <c r="F13" s="3">
        <v>2.1706663583278019</v>
      </c>
      <c r="G13" s="3">
        <v>2.1706663583278019</v>
      </c>
      <c r="H13" s="3">
        <v>2.1706663583278019</v>
      </c>
      <c r="I13" s="3">
        <v>2.7405104152517299</v>
      </c>
      <c r="J13" s="3">
        <v>2.1706663583278019</v>
      </c>
      <c r="K13" s="3">
        <v>2.740528667960032</v>
      </c>
    </row>
    <row r="14" spans="1:11" x14ac:dyDescent="0.25">
      <c r="A14" s="4">
        <v>0.12</v>
      </c>
      <c r="B14" s="3">
        <v>2.3778122010685152</v>
      </c>
      <c r="C14" s="3">
        <v>2.4405425265027572</v>
      </c>
      <c r="D14" s="3">
        <v>2.3778122010685152</v>
      </c>
      <c r="E14" s="3">
        <v>2.3778122010685152</v>
      </c>
      <c r="F14" s="3">
        <v>2.3778122010685152</v>
      </c>
      <c r="G14" s="3">
        <v>2.3778128101357701</v>
      </c>
      <c r="H14" s="3">
        <v>2.3778122010685152</v>
      </c>
      <c r="I14" s="3">
        <v>3.0021293467593879</v>
      </c>
      <c r="J14" s="3">
        <v>2.3778122010685152</v>
      </c>
      <c r="K14" s="3">
        <v>3.002287831967946</v>
      </c>
    </row>
    <row r="15" spans="1:11" x14ac:dyDescent="0.25">
      <c r="A15" s="4">
        <v>0.13</v>
      </c>
      <c r="B15" s="3">
        <v>2.5866518746278442</v>
      </c>
      <c r="C15" s="3">
        <v>2.6630509413235131</v>
      </c>
      <c r="D15" s="3">
        <v>2.5866518746278442</v>
      </c>
      <c r="E15" s="3">
        <v>2.5866518746278442</v>
      </c>
      <c r="F15" s="3">
        <v>2.5866518746278442</v>
      </c>
      <c r="G15" s="3">
        <v>2.586658748692936</v>
      </c>
      <c r="H15" s="3">
        <v>2.5866518746278442</v>
      </c>
      <c r="I15" s="3">
        <v>3.2671931140810941</v>
      </c>
      <c r="J15" s="3">
        <v>2.5866518746278442</v>
      </c>
      <c r="K15" s="3">
        <v>3.2680790941261941</v>
      </c>
    </row>
    <row r="16" spans="1:11" x14ac:dyDescent="0.25">
      <c r="A16" s="4">
        <v>0.14000000000000001</v>
      </c>
      <c r="B16" s="3">
        <v>2.7971415412184939</v>
      </c>
      <c r="C16" s="3">
        <v>2.8893983965533221</v>
      </c>
      <c r="D16" s="3">
        <v>2.7971415412184939</v>
      </c>
      <c r="E16" s="3">
        <v>2.7971415412184939</v>
      </c>
      <c r="F16" s="3">
        <v>2.7971415412184939</v>
      </c>
      <c r="G16" s="3">
        <v>2.797163048678085</v>
      </c>
      <c r="H16" s="3">
        <v>2.7971415412184939</v>
      </c>
      <c r="I16" s="3">
        <v>3.5353281051449161</v>
      </c>
      <c r="J16" s="3">
        <v>2.7971415412184939</v>
      </c>
      <c r="K16" s="3">
        <v>3.5376584996363452</v>
      </c>
    </row>
    <row r="17" spans="1:11" x14ac:dyDescent="0.25">
      <c r="A17" s="4">
        <v>0.15</v>
      </c>
      <c r="B17" s="3">
        <v>3.010071509447088</v>
      </c>
      <c r="C17" s="3">
        <v>3.1202389931612928</v>
      </c>
      <c r="D17" s="3">
        <v>3.010071509447088</v>
      </c>
      <c r="E17" s="3">
        <v>3.010071509447088</v>
      </c>
      <c r="F17" s="3">
        <v>3.010071509447088</v>
      </c>
      <c r="G17" s="3">
        <v>3.0101156969931959</v>
      </c>
      <c r="H17" s="3">
        <v>3.010071509447088</v>
      </c>
      <c r="I17" s="3">
        <v>3.805954544064615</v>
      </c>
      <c r="J17" s="3">
        <v>3.010071509447088</v>
      </c>
      <c r="K17" s="3">
        <v>3.8105139087294648</v>
      </c>
    </row>
    <row r="18" spans="1:11" x14ac:dyDescent="0.25">
      <c r="A18" s="4">
        <v>0.16</v>
      </c>
      <c r="B18" s="3">
        <v>3.2250928821939762</v>
      </c>
      <c r="C18" s="3">
        <v>3.3569240076767861</v>
      </c>
      <c r="D18" s="3">
        <v>3.2250928821939762</v>
      </c>
      <c r="E18" s="3">
        <v>3.2250928821939762</v>
      </c>
      <c r="F18" s="3">
        <v>3.2250928821939762</v>
      </c>
      <c r="G18" s="3">
        <v>3.2251659569665039</v>
      </c>
      <c r="H18" s="3">
        <v>3.2250928821939762</v>
      </c>
      <c r="I18" s="3">
        <v>4.079972681311502</v>
      </c>
      <c r="J18" s="3">
        <v>3.2250928821939762</v>
      </c>
      <c r="K18" s="3">
        <v>4.0879341827238864</v>
      </c>
    </row>
    <row r="19" spans="1:11" x14ac:dyDescent="0.25">
      <c r="A19" s="4">
        <v>0.17</v>
      </c>
      <c r="B19" s="3">
        <v>3.441940838536079</v>
      </c>
      <c r="C19" s="3">
        <v>3.599919504006571</v>
      </c>
      <c r="D19" s="3">
        <v>3.441940838536079</v>
      </c>
      <c r="E19" s="3">
        <v>3.441940838536079</v>
      </c>
      <c r="F19" s="3">
        <v>3.441940838536079</v>
      </c>
      <c r="G19" s="3">
        <v>3.442049010702291</v>
      </c>
      <c r="H19" s="3">
        <v>3.441940838536079</v>
      </c>
      <c r="I19" s="3">
        <v>4.359324992868725</v>
      </c>
      <c r="J19" s="3">
        <v>3.441940838536079</v>
      </c>
      <c r="K19" s="3">
        <v>4.3715620690459831</v>
      </c>
    </row>
    <row r="20" spans="1:11" x14ac:dyDescent="0.25">
      <c r="A20" s="4">
        <v>0.18</v>
      </c>
      <c r="B20" s="3">
        <v>3.660813789753445</v>
      </c>
      <c r="C20" s="3">
        <v>3.8490913616168871</v>
      </c>
      <c r="D20" s="3">
        <v>3.660813789753445</v>
      </c>
      <c r="E20" s="3">
        <v>3.660813789753445</v>
      </c>
      <c r="F20" s="3">
        <v>3.660813789753445</v>
      </c>
      <c r="G20" s="3">
        <v>3.6609639303659272</v>
      </c>
      <c r="H20" s="3">
        <v>3.660813789753445</v>
      </c>
      <c r="I20" s="3">
        <v>4.643828455518805</v>
      </c>
      <c r="J20" s="3">
        <v>3.660813789753445</v>
      </c>
      <c r="K20" s="3">
        <v>4.6612291307025284</v>
      </c>
    </row>
    <row r="21" spans="1:11" x14ac:dyDescent="0.25">
      <c r="A21" s="4">
        <v>0.19</v>
      </c>
      <c r="B21" s="3">
        <v>3.8826389076002892</v>
      </c>
      <c r="C21" s="3">
        <v>4.1044875903940738</v>
      </c>
      <c r="D21" s="3">
        <v>3.8826389076002892</v>
      </c>
      <c r="E21" s="3">
        <v>3.8826389076002892</v>
      </c>
      <c r="F21" s="3">
        <v>3.8826389076002892</v>
      </c>
      <c r="G21" s="3">
        <v>3.8828395491036991</v>
      </c>
      <c r="H21" s="3">
        <v>3.8826389076002892</v>
      </c>
      <c r="I21" s="3">
        <v>4.932680966829059</v>
      </c>
      <c r="J21" s="3">
        <v>3.8826389076002892</v>
      </c>
      <c r="K21" s="3">
        <v>4.9562434016168311</v>
      </c>
    </row>
    <row r="22" spans="1:11" x14ac:dyDescent="0.25">
      <c r="A22" s="4">
        <v>0.2</v>
      </c>
      <c r="B22" s="3">
        <v>4.1071228360760168</v>
      </c>
      <c r="C22" s="3">
        <v>4.3668719495226318</v>
      </c>
      <c r="D22" s="3">
        <v>4.1071228360760168</v>
      </c>
      <c r="E22" s="3">
        <v>4.1071228360760168</v>
      </c>
      <c r="F22" s="3">
        <v>4.1071228360760168</v>
      </c>
      <c r="G22" s="3">
        <v>4.1073824893693729</v>
      </c>
      <c r="H22" s="3">
        <v>4.1071228360760168</v>
      </c>
      <c r="I22" s="3">
        <v>5.2264962268458461</v>
      </c>
      <c r="J22" s="3">
        <v>4.1071228360760168</v>
      </c>
      <c r="K22" s="3">
        <v>5.2577561821628729</v>
      </c>
    </row>
    <row r="23" spans="1:11" x14ac:dyDescent="0.25">
      <c r="A23" s="4">
        <v>0.21</v>
      </c>
      <c r="B23" s="3">
        <v>4.3340975948293599</v>
      </c>
      <c r="C23" s="3">
        <v>4.6378163414779277</v>
      </c>
      <c r="D23" s="3">
        <v>4.3340975948293599</v>
      </c>
      <c r="E23" s="3">
        <v>4.3340975948293599</v>
      </c>
      <c r="F23" s="3">
        <v>4.3340975948293599</v>
      </c>
      <c r="G23" s="3">
        <v>4.3344275584909564</v>
      </c>
      <c r="H23" s="3">
        <v>4.3340975948293599</v>
      </c>
      <c r="I23" s="3">
        <v>5.5265941565312744</v>
      </c>
      <c r="J23" s="3">
        <v>4.3340975948293599</v>
      </c>
      <c r="K23" s="3">
        <v>5.5674503038508742</v>
      </c>
    </row>
    <row r="24" spans="1:11" x14ac:dyDescent="0.25">
      <c r="A24" s="4">
        <v>0.22</v>
      </c>
      <c r="B24" s="3">
        <v>4.5641113825198536</v>
      </c>
      <c r="C24" s="3">
        <v>4.9168309056547086</v>
      </c>
      <c r="D24" s="3">
        <v>4.5641113825198536</v>
      </c>
      <c r="E24" s="3">
        <v>4.5641113825198536</v>
      </c>
      <c r="F24" s="3">
        <v>4.5641122270368246</v>
      </c>
      <c r="G24" s="3">
        <v>4.5645237857192544</v>
      </c>
      <c r="H24" s="3">
        <v>4.5641113825198536</v>
      </c>
      <c r="I24" s="3">
        <v>5.832877305082234</v>
      </c>
      <c r="J24" s="3">
        <v>4.5641113825198536</v>
      </c>
      <c r="K24" s="3">
        <v>5.8858622837535686</v>
      </c>
    </row>
    <row r="25" spans="1:11" x14ac:dyDescent="0.25">
      <c r="A25" s="4">
        <v>0.23</v>
      </c>
      <c r="B25" s="3">
        <v>4.7975873747898339</v>
      </c>
      <c r="C25" s="3">
        <v>5.2035989260305726</v>
      </c>
      <c r="D25" s="3">
        <v>4.7975873747898339</v>
      </c>
      <c r="E25" s="3">
        <v>4.7975873747898339</v>
      </c>
      <c r="F25" s="3">
        <v>4.7975913737470446</v>
      </c>
      <c r="G25" s="3">
        <v>4.7981018634268384</v>
      </c>
      <c r="H25" s="3">
        <v>4.7975873747898339</v>
      </c>
      <c r="I25" s="3">
        <v>6.1454842759727706</v>
      </c>
      <c r="J25" s="3">
        <v>4.7975873747898339</v>
      </c>
      <c r="K25" s="3">
        <v>6.2127795892076998</v>
      </c>
    </row>
    <row r="26" spans="1:11" x14ac:dyDescent="0.25">
      <c r="A26" s="4">
        <v>0.24</v>
      </c>
      <c r="B26" s="3">
        <v>5.03538601151444</v>
      </c>
      <c r="C26" s="3">
        <v>5.4992745004427546</v>
      </c>
      <c r="D26" s="3">
        <v>5.03538601151444</v>
      </c>
      <c r="E26" s="3">
        <v>5.03538601151444</v>
      </c>
      <c r="F26" s="3">
        <v>5.0353977389883076</v>
      </c>
      <c r="G26" s="3">
        <v>5.0360235527989916</v>
      </c>
      <c r="H26" s="3">
        <v>5.03538601151444</v>
      </c>
      <c r="I26" s="3">
        <v>6.4643097107694469</v>
      </c>
      <c r="J26" s="3">
        <v>5.03538601151444</v>
      </c>
      <c r="K26" s="3">
        <v>6.5477851342862454</v>
      </c>
    </row>
    <row r="27" spans="1:11" x14ac:dyDescent="0.25">
      <c r="A27" s="4">
        <v>0.25</v>
      </c>
      <c r="B27" s="3">
        <v>5.2773163314449194</v>
      </c>
      <c r="C27" s="3">
        <v>5.8035151677685013</v>
      </c>
      <c r="D27" s="3">
        <v>5.2773163314449194</v>
      </c>
      <c r="E27" s="3">
        <v>5.2773163314449194</v>
      </c>
      <c r="F27" s="3">
        <v>5.2773446004671234</v>
      </c>
      <c r="G27" s="3">
        <v>5.2780975606983009</v>
      </c>
      <c r="H27" s="3">
        <v>5.2773163314449194</v>
      </c>
      <c r="I27" s="3">
        <v>6.7894951730886959</v>
      </c>
      <c r="J27" s="3">
        <v>5.2773163314449194</v>
      </c>
      <c r="K27" s="3">
        <v>6.8915661912582502</v>
      </c>
    </row>
    <row r="28" spans="1:11" x14ac:dyDescent="0.25">
      <c r="A28" s="4">
        <v>0.26</v>
      </c>
      <c r="B28" s="3">
        <v>5.5234513016304048</v>
      </c>
      <c r="C28" s="3">
        <v>6.1155337160718712</v>
      </c>
      <c r="D28" s="3">
        <v>5.5234513016304048</v>
      </c>
      <c r="E28" s="3">
        <v>5.5234513016304048</v>
      </c>
      <c r="F28" s="3">
        <v>5.5235043758763567</v>
      </c>
      <c r="G28" s="3">
        <v>5.5244014634583589</v>
      </c>
      <c r="H28" s="3">
        <v>5.5234513016304048</v>
      </c>
      <c r="I28" s="3">
        <v>7.1212482015278056</v>
      </c>
      <c r="J28" s="3">
        <v>5.5234513016304048</v>
      </c>
      <c r="K28" s="3">
        <v>7.2439774934615047</v>
      </c>
    </row>
    <row r="29" spans="1:11" x14ac:dyDescent="0.25">
      <c r="A29" s="4">
        <v>0.27</v>
      </c>
      <c r="B29" s="3">
        <v>5.7736370424246033</v>
      </c>
      <c r="C29" s="3">
        <v>6.4374857116427213</v>
      </c>
      <c r="D29" s="3">
        <v>5.7736370424246033</v>
      </c>
      <c r="E29" s="3">
        <v>5.7736370424246033</v>
      </c>
      <c r="F29" s="3">
        <v>5.7737231178966173</v>
      </c>
      <c r="G29" s="3">
        <v>5.7747880304075698</v>
      </c>
      <c r="H29" s="3">
        <v>5.7736370424246033</v>
      </c>
      <c r="I29" s="3">
        <v>7.4589848354304769</v>
      </c>
      <c r="J29" s="3">
        <v>5.7736370424246033</v>
      </c>
      <c r="K29" s="3">
        <v>7.6057408600308722</v>
      </c>
    </row>
    <row r="30" spans="1:11" x14ac:dyDescent="0.25">
      <c r="A30" s="4">
        <v>0.28000000000000003</v>
      </c>
      <c r="B30" s="3">
        <v>6.0280505435462386</v>
      </c>
      <c r="C30" s="3">
        <v>6.7699288001800353</v>
      </c>
      <c r="D30" s="3">
        <v>6.0280505435462386</v>
      </c>
      <c r="E30" s="3">
        <v>6.0280505435462386</v>
      </c>
      <c r="F30" s="3">
        <v>6.0281764559014714</v>
      </c>
      <c r="G30" s="3">
        <v>6.0294337697687146</v>
      </c>
      <c r="H30" s="3">
        <v>6.0280505435462386</v>
      </c>
      <c r="I30" s="3">
        <v>7.8036286669434887</v>
      </c>
      <c r="J30" s="3">
        <v>6.0280505435462386</v>
      </c>
      <c r="K30" s="3">
        <v>7.9778930388663758</v>
      </c>
    </row>
    <row r="31" spans="1:11" x14ac:dyDescent="0.25">
      <c r="A31" s="4">
        <v>0.28999999999999998</v>
      </c>
      <c r="B31" s="3">
        <v>6.2865485405111601</v>
      </c>
      <c r="C31" s="3">
        <v>7.1122469891435491</v>
      </c>
      <c r="D31" s="3">
        <v>6.2865485405111601</v>
      </c>
      <c r="E31" s="3">
        <v>6.2865485405111601</v>
      </c>
      <c r="F31" s="3">
        <v>6.2867226280741733</v>
      </c>
      <c r="G31" s="3">
        <v>6.2882124796412713</v>
      </c>
      <c r="H31" s="3">
        <v>6.2865485405111601</v>
      </c>
      <c r="I31" s="3">
        <v>8.1554662052917877</v>
      </c>
      <c r="J31" s="3">
        <v>6.2865485405111601</v>
      </c>
      <c r="K31" s="3">
        <v>8.3598788217716926</v>
      </c>
    </row>
    <row r="32" spans="1:11" x14ac:dyDescent="0.25">
      <c r="A32" s="4">
        <v>0.3</v>
      </c>
      <c r="B32" s="3">
        <v>6.5503079242831843</v>
      </c>
      <c r="C32" s="3">
        <v>7.4648935948385828</v>
      </c>
      <c r="D32" s="3">
        <v>6.5503079242831843</v>
      </c>
      <c r="E32" s="3">
        <v>6.5503079242831843</v>
      </c>
      <c r="F32" s="3">
        <v>6.5505419076205174</v>
      </c>
      <c r="G32" s="3">
        <v>6.5523215144614984</v>
      </c>
      <c r="H32" s="3">
        <v>6.5503079242831843</v>
      </c>
      <c r="I32" s="3">
        <v>8.5137440731034868</v>
      </c>
      <c r="J32" s="3">
        <v>6.5503079242831843</v>
      </c>
      <c r="K32" s="3">
        <v>8.7515267639144252</v>
      </c>
    </row>
    <row r="33" spans="1:11" x14ac:dyDescent="0.25">
      <c r="A33" s="4">
        <v>0.31</v>
      </c>
      <c r="B33" s="3">
        <v>6.8198517523981872</v>
      </c>
      <c r="C33" s="3">
        <v>7.8274929956148176</v>
      </c>
      <c r="D33" s="3">
        <v>6.8198517523981872</v>
      </c>
      <c r="E33" s="3">
        <v>6.8198517523981872</v>
      </c>
      <c r="F33" s="3">
        <v>6.820153751161766</v>
      </c>
      <c r="G33" s="3">
        <v>6.8222719853556324</v>
      </c>
      <c r="H33" s="3">
        <v>6.8198517523981872</v>
      </c>
      <c r="I33" s="3">
        <v>8.8789227623344811</v>
      </c>
      <c r="J33" s="3">
        <v>6.8198517523981872</v>
      </c>
      <c r="K33" s="3">
        <v>9.153078494096496</v>
      </c>
    </row>
    <row r="34" spans="1:11" x14ac:dyDescent="0.25">
      <c r="A34" s="4">
        <v>0.32</v>
      </c>
      <c r="B34" s="3">
        <v>7.0949204161823669</v>
      </c>
      <c r="C34" s="3">
        <v>8.1994844489742551</v>
      </c>
      <c r="D34" s="3">
        <v>7.0949204161823669</v>
      </c>
      <c r="E34" s="3">
        <v>7.0949204161823669</v>
      </c>
      <c r="F34" s="3">
        <v>7.0953000135810376</v>
      </c>
      <c r="G34" s="3">
        <v>7.0978034337308982</v>
      </c>
      <c r="H34" s="3">
        <v>7.0949204161823669</v>
      </c>
      <c r="I34" s="3">
        <v>9.2516691013455041</v>
      </c>
      <c r="J34" s="3">
        <v>7.0949204161823669</v>
      </c>
      <c r="K34" s="3">
        <v>9.5643465519649169</v>
      </c>
    </row>
    <row r="35" spans="1:11" x14ac:dyDescent="0.25">
      <c r="A35" s="4">
        <v>0.33</v>
      </c>
      <c r="B35" s="3">
        <v>7.3752463584812693</v>
      </c>
      <c r="C35" s="3">
        <v>8.5851466621000281</v>
      </c>
      <c r="D35" s="3">
        <v>7.3752463584812693</v>
      </c>
      <c r="E35" s="3">
        <v>7.3752463584812693</v>
      </c>
      <c r="F35" s="3">
        <v>7.3757134418462877</v>
      </c>
      <c r="G35" s="3">
        <v>7.3786435685961118</v>
      </c>
      <c r="H35" s="3">
        <v>7.3752463584812693</v>
      </c>
      <c r="I35" s="3">
        <v>9.6312491119236974</v>
      </c>
      <c r="J35" s="3">
        <v>7.3752463584812693</v>
      </c>
      <c r="K35" s="3">
        <v>9.985701458049272</v>
      </c>
    </row>
    <row r="36" spans="1:11" x14ac:dyDescent="0.25">
      <c r="A36" s="4">
        <v>0.34</v>
      </c>
      <c r="B36" s="3">
        <v>7.6605963741237826</v>
      </c>
      <c r="C36" s="3">
        <v>8.9893123457676136</v>
      </c>
      <c r="D36" s="3">
        <v>7.6605963741237826</v>
      </c>
      <c r="E36" s="3">
        <v>7.6605963741237826</v>
      </c>
      <c r="F36" s="3">
        <v>7.6611635619702776</v>
      </c>
      <c r="G36" s="3">
        <v>7.6645825055049039</v>
      </c>
      <c r="H36" s="3">
        <v>7.6605963741237826</v>
      </c>
      <c r="I36" s="3">
        <v>10.01712844603786</v>
      </c>
      <c r="J36" s="3">
        <v>7.6605963741237826</v>
      </c>
      <c r="K36" s="3">
        <v>10.418591780719909</v>
      </c>
    </row>
    <row r="37" spans="1:11" x14ac:dyDescent="0.25">
      <c r="A37" s="4">
        <v>0.35</v>
      </c>
      <c r="B37" s="3">
        <v>7.9516953341111716</v>
      </c>
      <c r="C37" s="3">
        <v>9.4106798686533555</v>
      </c>
      <c r="D37" s="3">
        <v>7.9516953341111716</v>
      </c>
      <c r="E37" s="3">
        <v>7.9516955571342036</v>
      </c>
      <c r="F37" s="3">
        <v>7.9523813165378474</v>
      </c>
      <c r="G37" s="3">
        <v>7.9563727375381523</v>
      </c>
      <c r="H37" s="3">
        <v>7.9516953341111716</v>
      </c>
      <c r="I37" s="3">
        <v>10.40937221629706</v>
      </c>
      <c r="J37" s="3">
        <v>7.9516955571342036</v>
      </c>
      <c r="K37" s="3">
        <v>10.86427439159154</v>
      </c>
    </row>
    <row r="38" spans="1:11" x14ac:dyDescent="0.25">
      <c r="A38" s="4">
        <v>0.36</v>
      </c>
      <c r="B38" s="3">
        <v>8.2489117506634191</v>
      </c>
      <c r="C38" s="3">
        <v>9.8487151184750061</v>
      </c>
      <c r="D38" s="3">
        <v>8.2489117506634191</v>
      </c>
      <c r="E38" s="3">
        <v>8.2489145293548436</v>
      </c>
      <c r="F38" s="3">
        <v>8.2497339462808856</v>
      </c>
      <c r="G38" s="3">
        <v>8.2543735673191545</v>
      </c>
      <c r="H38" s="3">
        <v>8.2489117506634191</v>
      </c>
      <c r="I38" s="3">
        <v>10.81032049414328</v>
      </c>
      <c r="J38" s="3">
        <v>8.2489145293548436</v>
      </c>
      <c r="K38" s="3">
        <v>11.32369493851817</v>
      </c>
    </row>
    <row r="39" spans="1:11" x14ac:dyDescent="0.25">
      <c r="A39" s="4">
        <v>0.37</v>
      </c>
      <c r="B39" s="3">
        <v>8.5518294530236378</v>
      </c>
      <c r="C39" s="3">
        <v>10.30483526260846</v>
      </c>
      <c r="D39" s="3">
        <v>8.5518294530236378</v>
      </c>
      <c r="E39" s="3">
        <v>8.5518374053358439</v>
      </c>
      <c r="F39" s="3">
        <v>8.552802314401438</v>
      </c>
      <c r="G39" s="3">
        <v>8.5581581702667826</v>
      </c>
      <c r="H39" s="3">
        <v>8.5518294530236378</v>
      </c>
      <c r="I39" s="3">
        <v>11.220858112745301</v>
      </c>
      <c r="J39" s="3">
        <v>8.5518374053358439</v>
      </c>
      <c r="K39" s="3">
        <v>11.796802988855861</v>
      </c>
    </row>
    <row r="40" spans="1:11" x14ac:dyDescent="0.25">
      <c r="A40" s="4">
        <v>0.38</v>
      </c>
      <c r="B40" s="3">
        <v>8.8599640584441914</v>
      </c>
      <c r="C40" s="3">
        <v>10.780473726611159</v>
      </c>
      <c r="D40" s="3">
        <v>8.8599640584441914</v>
      </c>
      <c r="E40" s="3">
        <v>8.8599795482022667</v>
      </c>
      <c r="F40" s="3">
        <v>8.8611007843693184</v>
      </c>
      <c r="G40" s="3">
        <v>8.8672479652059888</v>
      </c>
      <c r="H40" s="3">
        <v>8.8599640584441914</v>
      </c>
      <c r="I40" s="3">
        <v>11.641577956671091</v>
      </c>
      <c r="J40" s="3">
        <v>8.8599795482022667</v>
      </c>
      <c r="K40" s="3">
        <v>12.28438114013256</v>
      </c>
    </row>
    <row r="41" spans="1:11" x14ac:dyDescent="0.25">
      <c r="A41" s="4">
        <v>0.39</v>
      </c>
      <c r="B41" s="3">
        <v>9.1733005741069746</v>
      </c>
      <c r="C41" s="3">
        <v>11.27726644264632</v>
      </c>
      <c r="D41" s="3">
        <v>9.1733005741069746</v>
      </c>
      <c r="E41" s="3">
        <v>9.1733274961415727</v>
      </c>
      <c r="F41" s="3">
        <v>9.1746249861067568</v>
      </c>
      <c r="G41" s="3">
        <v>9.1816951884022515</v>
      </c>
      <c r="H41" s="3">
        <v>9.1733005741069746</v>
      </c>
      <c r="I41" s="3">
        <v>12.072297288773351</v>
      </c>
      <c r="J41" s="3">
        <v>9.1733274961415727</v>
      </c>
      <c r="K41" s="3">
        <v>12.78546058646563</v>
      </c>
    </row>
    <row r="42" spans="1:11" x14ac:dyDescent="0.25">
      <c r="A42" s="4">
        <v>0.4</v>
      </c>
      <c r="B42" s="3">
        <v>9.4934097835902289</v>
      </c>
      <c r="C42" s="3">
        <v>11.801245148372001</v>
      </c>
      <c r="D42" s="3">
        <v>9.4934097835902289</v>
      </c>
      <c r="E42" s="3">
        <v>9.4934582638162581</v>
      </c>
      <c r="F42" s="3">
        <v>9.4949584622402305</v>
      </c>
      <c r="G42" s="3">
        <v>9.5031368730491348</v>
      </c>
      <c r="H42" s="3">
        <v>9.4934097835902289</v>
      </c>
      <c r="I42" s="3">
        <v>12.51300116194426</v>
      </c>
      <c r="J42" s="3">
        <v>9.4934582638162581</v>
      </c>
      <c r="K42" s="3">
        <v>13.298891843413831</v>
      </c>
    </row>
    <row r="43" spans="1:11" x14ac:dyDescent="0.25">
      <c r="A43" s="4">
        <v>0.41</v>
      </c>
      <c r="B43" s="3">
        <v>9.8208007866740097</v>
      </c>
      <c r="C43" s="3">
        <v>12.35675524725449</v>
      </c>
      <c r="D43" s="3">
        <v>9.8208007866740097</v>
      </c>
      <c r="E43" s="3">
        <v>9.8208803961078939</v>
      </c>
      <c r="F43" s="3">
        <v>9.8225962292494433</v>
      </c>
      <c r="G43" s="3">
        <v>9.8319974853372258</v>
      </c>
      <c r="H43" s="3">
        <v>9.8208007866740097</v>
      </c>
      <c r="I43" s="3">
        <v>12.96317206015779</v>
      </c>
      <c r="J43" s="3">
        <v>9.8208803961078939</v>
      </c>
      <c r="K43" s="3">
        <v>13.82636734914804</v>
      </c>
    </row>
    <row r="44" spans="1:11" x14ac:dyDescent="0.25">
      <c r="A44" s="4">
        <v>0.42</v>
      </c>
      <c r="B44" s="3">
        <v>10.15489320026926</v>
      </c>
      <c r="C44" s="3">
        <v>12.94225072314663</v>
      </c>
      <c r="D44" s="3">
        <v>10.15489320026926</v>
      </c>
      <c r="E44" s="3">
        <v>10.155012155471651</v>
      </c>
      <c r="F44" s="3">
        <v>10.156957534652321</v>
      </c>
      <c r="G44" s="3">
        <v>10.16768934704816</v>
      </c>
      <c r="H44" s="3">
        <v>10.15489320026926</v>
      </c>
      <c r="I44" s="3">
        <v>13.4241767062948</v>
      </c>
      <c r="J44" s="3">
        <v>10.155012155471651</v>
      </c>
      <c r="K44" s="3">
        <v>14.369377783847071</v>
      </c>
    </row>
    <row r="45" spans="1:11" x14ac:dyDescent="0.25">
      <c r="A45" s="4">
        <v>0.43</v>
      </c>
      <c r="B45" s="3">
        <v>10.49543400725366</v>
      </c>
      <c r="C45" s="3">
        <v>13.56135202008614</v>
      </c>
      <c r="D45" s="3">
        <v>10.49543400725366</v>
      </c>
      <c r="E45" s="3">
        <v>10.495602279336399</v>
      </c>
      <c r="F45" s="3">
        <v>10.49781226740444</v>
      </c>
      <c r="G45" s="3">
        <v>10.510066368279601</v>
      </c>
      <c r="H45" s="3">
        <v>10.49582826980188</v>
      </c>
      <c r="I45" s="3">
        <v>13.899458699119149</v>
      </c>
      <c r="J45" s="3">
        <v>10.495990295483679</v>
      </c>
      <c r="K45" s="3">
        <v>14.933257381322351</v>
      </c>
    </row>
    <row r="46" spans="1:11" x14ac:dyDescent="0.25">
      <c r="A46" s="4">
        <v>0.44</v>
      </c>
      <c r="B46" s="3">
        <v>10.843010754841931</v>
      </c>
      <c r="C46" s="3">
        <v>14.22462275373679</v>
      </c>
      <c r="D46" s="3">
        <v>10.843010754841931</v>
      </c>
      <c r="E46" s="3">
        <v>10.843237407346029</v>
      </c>
      <c r="F46" s="3">
        <v>10.84574987936703</v>
      </c>
      <c r="G46" s="3">
        <v>10.85968590806562</v>
      </c>
      <c r="H46" s="3">
        <v>10.846414077026481</v>
      </c>
      <c r="I46" s="3">
        <v>14.39209624285728</v>
      </c>
      <c r="J46" s="3">
        <v>10.84661950596387</v>
      </c>
      <c r="K46" s="3">
        <v>15.52332931501501</v>
      </c>
    </row>
    <row r="47" spans="1:11" x14ac:dyDescent="0.25">
      <c r="A47" s="4">
        <v>0.45</v>
      </c>
      <c r="B47" s="3">
        <v>11.19734039225701</v>
      </c>
      <c r="C47" s="3">
        <v>14.955768855873449</v>
      </c>
      <c r="D47" s="3">
        <v>11.19734039225701</v>
      </c>
      <c r="E47" s="3">
        <v>11.19763432768991</v>
      </c>
      <c r="F47" s="3">
        <v>11.200488364980311</v>
      </c>
      <c r="G47" s="3">
        <v>11.216274034426551</v>
      </c>
      <c r="H47" s="3">
        <v>11.206794460573651</v>
      </c>
      <c r="I47" s="3">
        <v>14.900602730088529</v>
      </c>
      <c r="J47" s="3">
        <v>11.2070475339242</v>
      </c>
      <c r="K47" s="3">
        <v>16.141338856096372</v>
      </c>
    </row>
    <row r="48" spans="1:11" x14ac:dyDescent="0.25">
      <c r="A48" s="4">
        <v>0.46</v>
      </c>
      <c r="B48" s="3">
        <v>11.558335207469391</v>
      </c>
      <c r="C48" s="3">
        <v>15.7638121523478</v>
      </c>
      <c r="D48" s="3">
        <v>11.558335207469391</v>
      </c>
      <c r="E48" s="3">
        <v>11.55870400377823</v>
      </c>
      <c r="F48" s="3">
        <v>11.561933111214991</v>
      </c>
      <c r="G48" s="3">
        <v>11.57972591707453</v>
      </c>
      <c r="H48" s="3">
        <v>11.576805548700809</v>
      </c>
      <c r="I48" s="3">
        <v>15.42347418674418</v>
      </c>
      <c r="J48" s="3">
        <v>11.577110636232581</v>
      </c>
      <c r="K48" s="3">
        <v>16.787339665838179</v>
      </c>
    </row>
    <row r="49" spans="1:11" x14ac:dyDescent="0.25">
      <c r="A49" s="4">
        <v>0.47</v>
      </c>
      <c r="B49" s="3">
        <v>11.92569612257804</v>
      </c>
      <c r="C49" s="3">
        <v>16.65535126653716</v>
      </c>
      <c r="D49" s="3">
        <v>11.92569612257804</v>
      </c>
      <c r="E49" s="3">
        <v>11.92614692926028</v>
      </c>
      <c r="F49" s="3">
        <v>11.92978959148523</v>
      </c>
      <c r="G49" s="3">
        <v>11.949753359825429</v>
      </c>
      <c r="H49" s="3">
        <v>11.955977485652619</v>
      </c>
      <c r="I49" s="3">
        <v>15.96078559460511</v>
      </c>
      <c r="J49" s="3">
        <v>11.95633745606543</v>
      </c>
      <c r="K49" s="3">
        <v>17.46450141174687</v>
      </c>
    </row>
    <row r="50" spans="1:11" x14ac:dyDescent="0.25">
      <c r="A50" s="4">
        <v>0.48</v>
      </c>
      <c r="B50" s="3">
        <v>12.299226673460559</v>
      </c>
      <c r="C50" s="3">
        <v>17.629932095529298</v>
      </c>
      <c r="D50" s="3">
        <v>12.299226673460559</v>
      </c>
      <c r="E50" s="3">
        <v>12.29977023779173</v>
      </c>
      <c r="F50" s="3">
        <v>12.30389531832585</v>
      </c>
      <c r="G50" s="3">
        <v>12.32636454049951</v>
      </c>
      <c r="H50" s="3">
        <v>12.344010870447351</v>
      </c>
      <c r="I50" s="3">
        <v>16.513262818549801</v>
      </c>
      <c r="J50" s="3">
        <v>12.34450225799641</v>
      </c>
      <c r="K50" s="3">
        <v>18.175261831568299</v>
      </c>
    </row>
    <row r="51" spans="1:11" x14ac:dyDescent="0.25">
      <c r="A51" s="4">
        <v>0.49</v>
      </c>
      <c r="B51" s="3">
        <v>12.68174865569884</v>
      </c>
      <c r="C51" s="3">
        <v>18.698978284079111</v>
      </c>
      <c r="D51" s="3">
        <v>12.68174865569884</v>
      </c>
      <c r="E51" s="3">
        <v>12.68241739391676</v>
      </c>
      <c r="F51" s="3">
        <v>12.68720837618085</v>
      </c>
      <c r="G51" s="3">
        <v>12.713051469596881</v>
      </c>
      <c r="H51" s="3">
        <v>12.74339579162957</v>
      </c>
      <c r="I51" s="3">
        <v>17.082496836692421</v>
      </c>
      <c r="J51" s="3">
        <v>12.74434275478032</v>
      </c>
      <c r="K51" s="3">
        <v>18.92459897830982</v>
      </c>
    </row>
    <row r="52" spans="1:11" x14ac:dyDescent="0.25">
      <c r="A52" s="4">
        <v>0.5</v>
      </c>
      <c r="B52" s="3">
        <v>13.07683272289133</v>
      </c>
      <c r="C52" s="3">
        <v>19.871459630148969</v>
      </c>
      <c r="D52" s="3">
        <v>13.07683272289133</v>
      </c>
      <c r="E52" s="3">
        <v>13.07765126333115</v>
      </c>
      <c r="F52" s="3">
        <v>13.08321503343441</v>
      </c>
      <c r="G52" s="3">
        <v>13.11288959395335</v>
      </c>
      <c r="H52" s="3">
        <v>13.15683875521175</v>
      </c>
      <c r="I52" s="3">
        <v>17.67094859508871</v>
      </c>
      <c r="J52" s="3">
        <v>13.158778146411819</v>
      </c>
      <c r="K52" s="3">
        <v>19.719597353166151</v>
      </c>
    </row>
    <row r="53" spans="1:11" x14ac:dyDescent="0.25">
      <c r="A53" s="4">
        <v>0.51</v>
      </c>
      <c r="B53" s="3">
        <v>13.483968518650631</v>
      </c>
      <c r="C53" s="3">
        <v>21.175004098189032</v>
      </c>
      <c r="D53" s="3">
        <v>13.483968518650631</v>
      </c>
      <c r="E53" s="3">
        <v>13.484954254831949</v>
      </c>
      <c r="F53" s="3">
        <v>13.49135580457547</v>
      </c>
      <c r="G53" s="3">
        <v>13.525155206851061</v>
      </c>
      <c r="H53" s="3">
        <v>13.583853094708781</v>
      </c>
      <c r="I53" s="3">
        <v>18.280058141444659</v>
      </c>
      <c r="J53" s="3">
        <v>13.58732274205668</v>
      </c>
      <c r="K53" s="3">
        <v>20.572358869469479</v>
      </c>
    </row>
    <row r="54" spans="1:11" x14ac:dyDescent="0.25">
      <c r="A54" s="4">
        <v>0.52</v>
      </c>
      <c r="B54" s="3">
        <v>13.902460406149141</v>
      </c>
      <c r="C54" s="3">
        <v>22.631263882404351</v>
      </c>
      <c r="D54" s="3">
        <v>13.902460971119</v>
      </c>
      <c r="E54" s="3">
        <v>13.903638041022919</v>
      </c>
      <c r="F54" s="3">
        <v>13.910971691274311</v>
      </c>
      <c r="G54" s="3">
        <v>13.949317832291371</v>
      </c>
      <c r="H54" s="3">
        <v>14.02418085479079</v>
      </c>
      <c r="I54" s="3">
        <v>18.912141173109639</v>
      </c>
      <c r="J54" s="3">
        <v>14.02976379116485</v>
      </c>
      <c r="K54" s="3">
        <v>21.495891419004749</v>
      </c>
    </row>
    <row r="55" spans="1:11" x14ac:dyDescent="0.25">
      <c r="A55" s="4">
        <v>0.53</v>
      </c>
      <c r="B55" s="3">
        <v>14.33233338314349</v>
      </c>
      <c r="C55" s="3">
        <v>24.280985398492788</v>
      </c>
      <c r="D55" s="3">
        <v>14.33233903873689</v>
      </c>
      <c r="E55" s="3">
        <v>14.333725992352541</v>
      </c>
      <c r="F55" s="3">
        <v>14.34208383087085</v>
      </c>
      <c r="G55" s="3">
        <v>14.38534342353584</v>
      </c>
      <c r="H55" s="3">
        <v>14.47686471877431</v>
      </c>
      <c r="I55" s="3">
        <v>19.568048367533279</v>
      </c>
      <c r="J55" s="3">
        <v>14.485145214295491</v>
      </c>
      <c r="K55" s="3">
        <v>22.501435168037279</v>
      </c>
    </row>
    <row r="56" spans="1:11" x14ac:dyDescent="0.25">
      <c r="A56" s="4">
        <v>0.54</v>
      </c>
      <c r="B56" s="3">
        <v>14.773072677711751</v>
      </c>
      <c r="C56" s="3">
        <v>26.137847837598208</v>
      </c>
      <c r="D56" s="3">
        <v>14.77308858029766</v>
      </c>
      <c r="E56" s="3">
        <v>14.77470882226975</v>
      </c>
      <c r="F56" s="3">
        <v>14.784209386516579</v>
      </c>
      <c r="G56" s="3">
        <v>14.83291789507177</v>
      </c>
      <c r="H56" s="3">
        <v>14.941200644640711</v>
      </c>
      <c r="I56" s="3">
        <v>20.247511900875921</v>
      </c>
      <c r="J56" s="3">
        <v>14.95279476628505</v>
      </c>
      <c r="K56" s="3">
        <v>23.60015554725063</v>
      </c>
    </row>
    <row r="57" spans="1:11" x14ac:dyDescent="0.25">
      <c r="A57" s="4">
        <v>0.55000000000000004</v>
      </c>
      <c r="B57" s="3">
        <v>15.22597070622775</v>
      </c>
      <c r="C57" s="3">
        <v>28.20969299917471</v>
      </c>
      <c r="D57" s="3">
        <v>15.22600302446026</v>
      </c>
      <c r="E57" s="3">
        <v>15.22789839495278</v>
      </c>
      <c r="F57" s="3">
        <v>15.23875361650151</v>
      </c>
      <c r="G57" s="3">
        <v>15.29371847063212</v>
      </c>
      <c r="H57" s="3">
        <v>15.416966067853259</v>
      </c>
      <c r="I57" s="3">
        <v>20.950733720979809</v>
      </c>
      <c r="J57" s="3">
        <v>15.432512020180591</v>
      </c>
      <c r="K57" s="3">
        <v>24.811606295245461</v>
      </c>
    </row>
    <row r="58" spans="1:11" x14ac:dyDescent="0.25">
      <c r="A58" s="4">
        <v>0.56000000000000005</v>
      </c>
      <c r="B58" s="3">
        <v>15.69165852253461</v>
      </c>
      <c r="C58" s="3">
        <v>30.527928260139038</v>
      </c>
      <c r="D58" s="3">
        <v>15.69171271573788</v>
      </c>
      <c r="E58" s="3">
        <v>15.693911425238939</v>
      </c>
      <c r="F58" s="3">
        <v>15.7062862361506</v>
      </c>
      <c r="G58" s="3">
        <v>15.76809557573986</v>
      </c>
      <c r="H58" s="3">
        <v>15.90684750634715</v>
      </c>
      <c r="I58" s="3">
        <v>21.67975607316864</v>
      </c>
      <c r="J58" s="3">
        <v>15.92703601209975</v>
      </c>
      <c r="K58" s="3">
        <v>26.160535659455789</v>
      </c>
    </row>
    <row r="59" spans="1:11" x14ac:dyDescent="0.25">
      <c r="A59" s="4">
        <v>0.56999999999999995</v>
      </c>
      <c r="B59" s="3">
        <v>16.170710589915949</v>
      </c>
      <c r="C59" s="3">
        <v>33.11964268901599</v>
      </c>
      <c r="D59" s="3">
        <v>16.170792816308701</v>
      </c>
      <c r="E59" s="3">
        <v>16.173340747237759</v>
      </c>
      <c r="F59" s="3">
        <v>16.187462102705339</v>
      </c>
      <c r="G59" s="3">
        <v>16.256860606869349</v>
      </c>
      <c r="H59" s="3">
        <v>16.412150800123449</v>
      </c>
      <c r="I59" s="3">
        <v>22.440615115708219</v>
      </c>
      <c r="J59" s="3">
        <v>16.4385134637593</v>
      </c>
      <c r="K59" s="3">
        <v>27.713826975168789</v>
      </c>
    </row>
    <row r="60" spans="1:11" x14ac:dyDescent="0.25">
      <c r="A60" s="4">
        <v>0.57999999999999996</v>
      </c>
      <c r="B60" s="3">
        <v>16.66361424794988</v>
      </c>
      <c r="C60" s="3">
        <v>35.990362181428239</v>
      </c>
      <c r="D60" s="3">
        <v>16.663733745183631</v>
      </c>
      <c r="E60" s="3">
        <v>16.666686002134949</v>
      </c>
      <c r="F60" s="3">
        <v>16.682839440707749</v>
      </c>
      <c r="G60" s="3">
        <v>16.760912724161759</v>
      </c>
      <c r="H60" s="3">
        <v>16.935881894930681</v>
      </c>
      <c r="I60" s="3">
        <v>23.239828372241199</v>
      </c>
      <c r="J60" s="3">
        <v>16.970869973566298</v>
      </c>
      <c r="K60" s="3">
        <v>29.534280774542541</v>
      </c>
    </row>
    <row r="61" spans="1:11" x14ac:dyDescent="0.25">
      <c r="A61" s="4">
        <v>0.59</v>
      </c>
      <c r="B61" s="3">
        <v>17.172513088295432</v>
      </c>
      <c r="C61" s="3">
        <v>39.154001496337351</v>
      </c>
      <c r="D61" s="3">
        <v>17.172684554636671</v>
      </c>
      <c r="E61" s="3">
        <v>17.17611428834611</v>
      </c>
      <c r="F61" s="3">
        <v>17.194711403783401</v>
      </c>
      <c r="G61" s="3">
        <v>17.283043836964531</v>
      </c>
      <c r="H61" s="3">
        <v>17.48273897718553</v>
      </c>
      <c r="I61" s="3">
        <v>24.098445269551039</v>
      </c>
      <c r="J61" s="3">
        <v>17.528305419179411</v>
      </c>
      <c r="K61" s="3">
        <v>31.669015013449311</v>
      </c>
    </row>
    <row r="62" spans="1:11" x14ac:dyDescent="0.25">
      <c r="A62" s="4">
        <v>0.6</v>
      </c>
      <c r="B62" s="3">
        <v>17.70186772255726</v>
      </c>
      <c r="C62" s="3">
        <v>42.821733533605183</v>
      </c>
      <c r="D62" s="3">
        <v>17.702114974290399</v>
      </c>
      <c r="E62" s="3">
        <v>17.706126127595819</v>
      </c>
      <c r="F62" s="3">
        <v>17.727739614161329</v>
      </c>
      <c r="G62" s="3">
        <v>17.827999765551461</v>
      </c>
      <c r="H62" s="3">
        <v>18.05269162779252</v>
      </c>
      <c r="I62" s="3">
        <v>25.02018108676879</v>
      </c>
      <c r="J62" s="3">
        <v>18.110279297674431</v>
      </c>
      <c r="K62" s="3">
        <v>34.14711061853302</v>
      </c>
    </row>
    <row r="63" spans="1:11" x14ac:dyDescent="0.25">
      <c r="A63" s="4">
        <v>0.61</v>
      </c>
      <c r="B63" s="3">
        <v>18.252304188225551</v>
      </c>
      <c r="C63" s="3">
        <v>48.251812210622361</v>
      </c>
      <c r="D63" s="3">
        <v>18.252648586971659</v>
      </c>
      <c r="E63" s="3">
        <v>18.257285494326432</v>
      </c>
      <c r="F63" s="3">
        <v>18.282166068432879</v>
      </c>
      <c r="G63" s="3">
        <v>18.39522773885167</v>
      </c>
      <c r="H63" s="3">
        <v>18.645273443702159</v>
      </c>
      <c r="I63" s="3">
        <v>26.002348567681871</v>
      </c>
      <c r="J63" s="3">
        <v>18.716163464918282</v>
      </c>
      <c r="K63" s="3">
        <v>36.994901066747232</v>
      </c>
    </row>
    <row r="64" spans="1:11" x14ac:dyDescent="0.25">
      <c r="A64" s="4">
        <v>0.62</v>
      </c>
      <c r="B64" s="3">
        <v>18.82295963748599</v>
      </c>
      <c r="C64" s="3">
        <v>57.089843171395408</v>
      </c>
      <c r="D64" s="3">
        <v>18.82342174114693</v>
      </c>
      <c r="E64" s="3">
        <v>18.828760640503159</v>
      </c>
      <c r="F64" s="3">
        <v>18.85719722897036</v>
      </c>
      <c r="G64" s="3">
        <v>18.983953113218469</v>
      </c>
      <c r="H64" s="3">
        <v>19.259926891227749</v>
      </c>
      <c r="I64" s="3">
        <v>27.048660768859119</v>
      </c>
      <c r="J64" s="3">
        <v>19.348514042344551</v>
      </c>
      <c r="K64" s="3">
        <v>40.359291752210503</v>
      </c>
    </row>
    <row r="65" spans="1:11" x14ac:dyDescent="0.25">
      <c r="A65" s="4">
        <v>0.63</v>
      </c>
      <c r="B65" s="3">
        <v>19.41336336819943</v>
      </c>
      <c r="C65" s="3">
        <v>74.190599049940232</v>
      </c>
      <c r="D65" s="3">
        <v>19.413962479942281</v>
      </c>
      <c r="E65" s="3">
        <v>19.420083876475481</v>
      </c>
      <c r="F65" s="3">
        <v>19.452408525917921</v>
      </c>
      <c r="G65" s="3">
        <v>19.59421415827331</v>
      </c>
      <c r="H65" s="3">
        <v>19.90326043367541</v>
      </c>
      <c r="I65" s="3">
        <v>28.161931405483561</v>
      </c>
      <c r="J65" s="3">
        <v>20.014798830454239</v>
      </c>
      <c r="K65" s="3">
        <v>44.764496152619849</v>
      </c>
    </row>
    <row r="66" spans="1:11" x14ac:dyDescent="0.25">
      <c r="A66" s="4">
        <v>0.64</v>
      </c>
      <c r="B66" s="3">
        <v>20.025672441480229</v>
      </c>
      <c r="C66" s="3">
        <v>107.9434331276766</v>
      </c>
      <c r="D66" s="3">
        <v>20.026454192121729</v>
      </c>
      <c r="E66" s="3">
        <v>20.03360342671429</v>
      </c>
      <c r="F66" s="3">
        <v>20.070902947179611</v>
      </c>
      <c r="G66" s="3">
        <v>20.23169245359863</v>
      </c>
      <c r="H66" s="3">
        <v>20.576255893070371</v>
      </c>
      <c r="I66" s="3">
        <v>29.342604423453722</v>
      </c>
      <c r="J66" s="3">
        <v>20.714756459870451</v>
      </c>
      <c r="K66" s="3">
        <v>51.303023911843567</v>
      </c>
    </row>
    <row r="67" spans="1:11" x14ac:dyDescent="0.25">
      <c r="A67" s="4">
        <v>0.65</v>
      </c>
      <c r="B67" s="3">
        <v>20.664932744059389</v>
      </c>
      <c r="C67" s="3">
        <v>301.38784041032591</v>
      </c>
      <c r="D67" s="3">
        <v>20.665930057445848</v>
      </c>
      <c r="E67" s="3">
        <v>20.674282255819762</v>
      </c>
      <c r="F67" s="3">
        <v>20.717178248633779</v>
      </c>
      <c r="G67" s="3">
        <v>20.900191102626451</v>
      </c>
      <c r="H67" s="3">
        <v>21.277821283527221</v>
      </c>
      <c r="I67" s="3">
        <v>30.602222226484461</v>
      </c>
      <c r="J67" s="3">
        <v>21.44753496818792</v>
      </c>
      <c r="K67" s="3">
        <v>61.254515059633597</v>
      </c>
    </row>
    <row r="68" spans="1:11" x14ac:dyDescent="0.25">
      <c r="A68" s="4">
        <v>0.66</v>
      </c>
      <c r="B68" s="3">
        <v>21.336801791310918</v>
      </c>
      <c r="D68" s="3">
        <v>21.33814757429613</v>
      </c>
      <c r="E68" s="3">
        <v>21.348425466136131</v>
      </c>
      <c r="F68" s="3">
        <v>21.40029720496932</v>
      </c>
      <c r="G68" s="3">
        <v>21.61745799754501</v>
      </c>
      <c r="H68" s="3">
        <v>22.013392496200769</v>
      </c>
      <c r="I68" s="3">
        <v>31.94642448402962</v>
      </c>
      <c r="J68" s="3">
        <v>22.222901425931038</v>
      </c>
      <c r="K68" s="3">
        <v>79.952604900198494</v>
      </c>
    </row>
    <row r="69" spans="1:11" x14ac:dyDescent="0.25">
      <c r="A69" s="4">
        <v>0.67</v>
      </c>
      <c r="B69" s="3">
        <v>22.055846571722611</v>
      </c>
      <c r="D69" s="3">
        <v>22.05765462755517</v>
      </c>
      <c r="E69" s="3">
        <v>22.070321274517241</v>
      </c>
      <c r="F69" s="3">
        <v>22.133015194022359</v>
      </c>
      <c r="G69" s="3">
        <v>22.389294280366649</v>
      </c>
      <c r="H69" s="3">
        <v>22.79764602037784</v>
      </c>
      <c r="I69" s="3">
        <v>33.380146567249689</v>
      </c>
      <c r="J69" s="3">
        <v>23.057568359967789</v>
      </c>
      <c r="K69" s="3">
        <v>137.59954168568751</v>
      </c>
    </row>
    <row r="70" spans="1:11" x14ac:dyDescent="0.25">
      <c r="A70" s="4">
        <v>0.68</v>
      </c>
      <c r="B70" s="3">
        <v>22.823618237830729</v>
      </c>
      <c r="D70" s="3">
        <v>22.8260494460168</v>
      </c>
      <c r="E70" s="3">
        <v>22.841706052925751</v>
      </c>
      <c r="F70" s="3">
        <v>22.917848151055679</v>
      </c>
      <c r="G70" s="3">
        <v>23.220985344103251</v>
      </c>
      <c r="H70" s="3">
        <v>23.635703717728699</v>
      </c>
      <c r="I70" s="3">
        <v>34.919111003006428</v>
      </c>
      <c r="J70" s="3">
        <v>23.956012955484489</v>
      </c>
    </row>
    <row r="71" spans="1:11" x14ac:dyDescent="0.25">
      <c r="A71" s="4">
        <v>0.69</v>
      </c>
      <c r="B71" s="3">
        <v>23.645190586128091</v>
      </c>
      <c r="D71" s="3">
        <v>23.648444682456251</v>
      </c>
      <c r="E71" s="3">
        <v>23.667827195905971</v>
      </c>
      <c r="F71" s="3">
        <v>23.760298609817649</v>
      </c>
      <c r="G71" s="3">
        <v>24.116870843656319</v>
      </c>
      <c r="H71" s="3">
        <v>24.531080271053401</v>
      </c>
      <c r="I71" s="3">
        <v>36.57412565178555</v>
      </c>
      <c r="J71" s="3">
        <v>24.91989301199019</v>
      </c>
    </row>
    <row r="72" spans="1:11" x14ac:dyDescent="0.25">
      <c r="A72" s="4">
        <v>0.7</v>
      </c>
      <c r="B72" s="3">
        <v>24.522455393864849</v>
      </c>
      <c r="D72" s="3">
        <v>24.526700228879719</v>
      </c>
      <c r="E72" s="3">
        <v>24.550476686010992</v>
      </c>
      <c r="F72" s="3">
        <v>24.661612443588279</v>
      </c>
      <c r="G72" s="3">
        <v>25.077706960792231</v>
      </c>
      <c r="H72" s="3">
        <v>25.483569254995238</v>
      </c>
      <c r="I72" s="3">
        <v>38.353994263027062</v>
      </c>
      <c r="J72" s="3">
        <v>25.951732146865719</v>
      </c>
    </row>
    <row r="73" spans="1:11" x14ac:dyDescent="0.25">
      <c r="A73" s="4">
        <v>0.71</v>
      </c>
      <c r="B73" s="3">
        <v>25.455444935174171</v>
      </c>
      <c r="D73" s="3">
        <v>25.460886378493718</v>
      </c>
      <c r="E73" s="3">
        <v>25.489835730399111</v>
      </c>
      <c r="F73" s="3">
        <v>25.62198166286181</v>
      </c>
      <c r="G73" s="3">
        <v>26.105993612809659</v>
      </c>
      <c r="H73" s="3">
        <v>26.494887348769851</v>
      </c>
      <c r="I73" s="3">
        <v>40.26448108488399</v>
      </c>
      <c r="J73" s="3">
        <v>27.062681175480261</v>
      </c>
    </row>
    <row r="74" spans="1:11" x14ac:dyDescent="0.25">
      <c r="A74" s="4">
        <v>0.72</v>
      </c>
      <c r="B74" s="3">
        <v>26.44325921264986</v>
      </c>
      <c r="D74" s="3">
        <v>26.45027301250278</v>
      </c>
      <c r="E74" s="3">
        <v>26.48579102496112</v>
      </c>
      <c r="F74" s="3">
        <v>26.644754745856339</v>
      </c>
      <c r="G74" s="3">
        <v>27.215285092652131</v>
      </c>
      <c r="H74" s="3">
        <v>27.575326894407489</v>
      </c>
      <c r="I74" s="3">
        <v>42.309328185449687</v>
      </c>
      <c r="J74" s="3">
        <v>28.254049849978191</v>
      </c>
    </row>
    <row r="75" spans="1:11" x14ac:dyDescent="0.25">
      <c r="A75" s="4">
        <v>0.73</v>
      </c>
      <c r="B75" s="3">
        <v>27.495229040419652</v>
      </c>
      <c r="D75" s="3">
        <v>27.50432391308156</v>
      </c>
      <c r="E75" s="3">
        <v>27.54823272506346</v>
      </c>
      <c r="F75" s="3">
        <v>27.739814904085051</v>
      </c>
      <c r="G75" s="3">
        <v>28.40826177550252</v>
      </c>
      <c r="H75" s="3">
        <v>28.725376515551272</v>
      </c>
      <c r="I75" s="3">
        <v>44.492322122745172</v>
      </c>
      <c r="J75" s="3">
        <v>29.539070969259441</v>
      </c>
    </row>
    <row r="76" spans="1:11" x14ac:dyDescent="0.25">
      <c r="A76" s="4">
        <v>0.74</v>
      </c>
      <c r="B76" s="3">
        <v>28.613021568231261</v>
      </c>
      <c r="D76" s="3">
        <v>28.624635000412489</v>
      </c>
      <c r="E76" s="3">
        <v>28.67851554165172</v>
      </c>
      <c r="F76" s="3">
        <v>28.908251721756582</v>
      </c>
      <c r="G76" s="3">
        <v>29.692851201162291</v>
      </c>
      <c r="H76" s="3">
        <v>29.955577272834489</v>
      </c>
      <c r="I76" s="3">
        <v>46.813965763033053</v>
      </c>
      <c r="J76" s="3">
        <v>30.92460647286163</v>
      </c>
    </row>
    <row r="77" spans="1:11" x14ac:dyDescent="0.25">
      <c r="A77" s="4">
        <v>0.75</v>
      </c>
      <c r="B77" s="3">
        <v>29.802834027738381</v>
      </c>
      <c r="D77" s="3">
        <v>29.817841633351009</v>
      </c>
      <c r="E77" s="3">
        <v>29.884631503539559</v>
      </c>
      <c r="F77" s="3">
        <v>30.163028499986051</v>
      </c>
      <c r="G77" s="3">
        <v>31.092261822725071</v>
      </c>
      <c r="H77" s="3">
        <v>31.27318731569844</v>
      </c>
      <c r="I77" s="3">
        <v>49.307644204158379</v>
      </c>
      <c r="J77" s="3">
        <v>32.449392609343313</v>
      </c>
    </row>
    <row r="78" spans="1:11" x14ac:dyDescent="0.25">
      <c r="A78" s="4">
        <v>0.76</v>
      </c>
      <c r="B78" s="3">
        <v>31.08161800897636</v>
      </c>
      <c r="D78" s="3">
        <v>31.101197357774399</v>
      </c>
      <c r="E78" s="3">
        <v>31.184469053399351</v>
      </c>
      <c r="F78" s="3">
        <v>31.521182633258132</v>
      </c>
      <c r="G78" s="3">
        <v>32.613652799705633</v>
      </c>
      <c r="H78" s="3">
        <v>32.684509767451956</v>
      </c>
      <c r="I78" s="3">
        <v>52.02303267353718</v>
      </c>
      <c r="J78" s="3">
        <v>34.22482895575174</v>
      </c>
    </row>
    <row r="79" spans="1:11" x14ac:dyDescent="0.25">
      <c r="A79" s="4">
        <v>0.77</v>
      </c>
      <c r="B79" s="3">
        <v>32.453460741489657</v>
      </c>
      <c r="D79" s="3">
        <v>32.478876454394133</v>
      </c>
      <c r="E79" s="3">
        <v>32.582021729015651</v>
      </c>
      <c r="F79" s="3">
        <v>32.988981074956932</v>
      </c>
      <c r="G79" s="3">
        <v>34.289959483956039</v>
      </c>
      <c r="H79" s="3">
        <v>34.249433467807748</v>
      </c>
      <c r="I79" s="3">
        <v>54.963660451551902</v>
      </c>
      <c r="J79" s="3">
        <v>36.306515114073463</v>
      </c>
    </row>
    <row r="80" spans="1:11" x14ac:dyDescent="0.25">
      <c r="A80" s="4">
        <v>0.78</v>
      </c>
      <c r="B80" s="3">
        <v>33.935445851173348</v>
      </c>
      <c r="D80" s="3">
        <v>33.969162755524643</v>
      </c>
      <c r="E80" s="3">
        <v>34.099258483526881</v>
      </c>
      <c r="F80" s="3">
        <v>34.597773495223791</v>
      </c>
      <c r="G80" s="3">
        <v>36.15186317589815</v>
      </c>
      <c r="H80" s="3">
        <v>36.003004537320471</v>
      </c>
      <c r="I80" s="3">
        <v>58.138867778519923</v>
      </c>
      <c r="J80" s="3">
        <v>38.702705251659189</v>
      </c>
    </row>
    <row r="81" spans="1:10" x14ac:dyDescent="0.25">
      <c r="A81" s="4">
        <v>0.79</v>
      </c>
      <c r="B81" s="3">
        <v>35.54760343085632</v>
      </c>
      <c r="D81" s="3">
        <v>35.591848853683281</v>
      </c>
      <c r="E81" s="3">
        <v>35.754720579689177</v>
      </c>
      <c r="F81" s="3">
        <v>36.358856765473782</v>
      </c>
      <c r="G81" s="3">
        <v>38.209578216169447</v>
      </c>
      <c r="H81" s="3">
        <v>37.950582733395137</v>
      </c>
      <c r="I81" s="3">
        <v>61.599265627347258</v>
      </c>
      <c r="J81" s="3">
        <v>41.489269849540449</v>
      </c>
    </row>
    <row r="82" spans="1:10" x14ac:dyDescent="0.25">
      <c r="A82" s="4">
        <v>0.8</v>
      </c>
      <c r="B82" s="3">
        <v>37.294117740126282</v>
      </c>
      <c r="D82" s="3">
        <v>37.351619773393409</v>
      </c>
      <c r="E82" s="3">
        <v>37.554407649403537</v>
      </c>
      <c r="F82" s="3">
        <v>38.277964707729872</v>
      </c>
      <c r="G82" s="3">
        <v>40.488157010230651</v>
      </c>
      <c r="H82" s="3">
        <v>40.099333019238223</v>
      </c>
      <c r="I82" s="3">
        <v>65.355197224748878</v>
      </c>
      <c r="J82" s="3">
        <v>44.748826098583578</v>
      </c>
    </row>
    <row r="83" spans="1:10" x14ac:dyDescent="0.25">
      <c r="A83" s="4">
        <v>0.81</v>
      </c>
      <c r="B83" s="3">
        <v>39.179411395037476</v>
      </c>
      <c r="D83" s="3">
        <v>39.252955597074077</v>
      </c>
      <c r="E83" s="3">
        <v>39.503079947037733</v>
      </c>
      <c r="F83" s="3">
        <v>40.365895015321946</v>
      </c>
      <c r="G83" s="3">
        <v>43.02444629936322</v>
      </c>
      <c r="H83" s="3">
        <v>42.480791115380683</v>
      </c>
      <c r="I83" s="3">
        <v>69.402435968672307</v>
      </c>
      <c r="J83" s="3">
        <v>48.724075476785941</v>
      </c>
    </row>
    <row r="84" spans="1:10" x14ac:dyDescent="0.25">
      <c r="A84" s="4">
        <v>0.82</v>
      </c>
      <c r="B84" s="3">
        <v>41.205682224772637</v>
      </c>
      <c r="D84" s="3">
        <v>41.30016603363611</v>
      </c>
      <c r="E84" s="3">
        <v>41.608783363104664</v>
      </c>
      <c r="F84" s="3">
        <v>42.634460044862386</v>
      </c>
      <c r="G84" s="3">
        <v>45.848815726446809</v>
      </c>
      <c r="H84" s="3">
        <v>45.118169653140633</v>
      </c>
      <c r="I84" s="3">
        <v>73.764254632423359</v>
      </c>
      <c r="J84" s="3">
        <v>53.59336821416899</v>
      </c>
    </row>
    <row r="85" spans="1:10" x14ac:dyDescent="0.25">
      <c r="A85" s="4">
        <v>0.83</v>
      </c>
      <c r="B85" s="3">
        <v>43.38063818582377</v>
      </c>
      <c r="D85" s="3">
        <v>43.501862573855242</v>
      </c>
      <c r="E85" s="3">
        <v>43.884653837238012</v>
      </c>
      <c r="F85" s="3">
        <v>45.113296751679201</v>
      </c>
      <c r="G85" s="3">
        <v>48.970974386044247</v>
      </c>
      <c r="H85" s="3">
        <v>48.046231490416503</v>
      </c>
      <c r="I85" s="3">
        <v>78.415294870156913</v>
      </c>
      <c r="J85" s="3">
        <v>59.502637555176328</v>
      </c>
    </row>
    <row r="86" spans="1:10" x14ac:dyDescent="0.25">
      <c r="A86" s="4">
        <v>0.84</v>
      </c>
      <c r="B86" s="3">
        <v>45.728699220586918</v>
      </c>
      <c r="D86" s="3">
        <v>45.885484341699488</v>
      </c>
      <c r="E86" s="3">
        <v>46.36109442793952</v>
      </c>
      <c r="F86" s="3">
        <v>47.819026240517587</v>
      </c>
      <c r="G86" s="3">
        <v>52.406788048420793</v>
      </c>
      <c r="H86" s="3">
        <v>51.318867293319137</v>
      </c>
      <c r="I86" s="3">
        <v>83.344459945542255</v>
      </c>
      <c r="J86" s="3">
        <v>66.793173983078304</v>
      </c>
    </row>
    <row r="87" spans="1:10" x14ac:dyDescent="0.25">
      <c r="A87" s="4">
        <v>0.85</v>
      </c>
      <c r="B87" s="3">
        <v>48.255814946843572</v>
      </c>
      <c r="D87" s="3">
        <v>48.456018733458251</v>
      </c>
      <c r="E87" s="3">
        <v>49.040567943390343</v>
      </c>
      <c r="F87" s="3">
        <v>50.753763509589838</v>
      </c>
      <c r="G87" s="3">
        <v>56.21271193292236</v>
      </c>
      <c r="H87" s="3">
        <v>54.914691790146499</v>
      </c>
      <c r="I87" s="3">
        <v>88.629685154948845</v>
      </c>
      <c r="J87" s="3">
        <v>76.657414469128597</v>
      </c>
    </row>
    <row r="88" spans="1:10" x14ac:dyDescent="0.25">
      <c r="A88" s="4">
        <v>0.86</v>
      </c>
      <c r="B88" s="3">
        <v>50.958838374194443</v>
      </c>
      <c r="D88" s="3">
        <v>51.211113498217713</v>
      </c>
      <c r="E88" s="3">
        <v>51.924773080319063</v>
      </c>
      <c r="F88" s="3">
        <v>53.927719167102502</v>
      </c>
      <c r="G88" s="3">
        <v>60.859056462610162</v>
      </c>
      <c r="H88" s="3">
        <v>58.821192880195873</v>
      </c>
      <c r="I88" s="3">
        <v>94.485009278397058</v>
      </c>
      <c r="J88" s="3">
        <v>96.252587362657337</v>
      </c>
    </row>
    <row r="89" spans="1:10" x14ac:dyDescent="0.25">
      <c r="A89" s="4">
        <v>0.87</v>
      </c>
      <c r="B89" s="3">
        <v>53.848697592878217</v>
      </c>
      <c r="D89" s="3">
        <v>54.163387439602701</v>
      </c>
      <c r="E89" s="3">
        <v>55.019770016350563</v>
      </c>
      <c r="F89" s="3">
        <v>57.362920743511133</v>
      </c>
      <c r="H89" s="3">
        <v>63.077100620752859</v>
      </c>
      <c r="I89" s="3">
        <v>101.037216566422</v>
      </c>
      <c r="J89" s="3">
        <v>149.0599808307629</v>
      </c>
    </row>
    <row r="90" spans="1:10" x14ac:dyDescent="0.25">
      <c r="A90" s="4">
        <v>0.88</v>
      </c>
      <c r="B90" s="3">
        <v>56.917803795768229</v>
      </c>
      <c r="D90" s="3">
        <v>57.306773499013467</v>
      </c>
      <c r="E90" s="3">
        <v>58.35110984057944</v>
      </c>
      <c r="F90" s="3">
        <v>61.236055864330737</v>
      </c>
      <c r="H90" s="3">
        <v>67.698100304721166</v>
      </c>
      <c r="I90" s="3">
        <v>108.2965383328889</v>
      </c>
    </row>
    <row r="91" spans="1:10" x14ac:dyDescent="0.25">
      <c r="A91" s="4">
        <v>0.89</v>
      </c>
      <c r="B91" s="3">
        <v>60.222760304848279</v>
      </c>
      <c r="D91" s="3">
        <v>60.738578490409232</v>
      </c>
      <c r="E91" s="3">
        <v>62.064062436874188</v>
      </c>
      <c r="F91" s="3">
        <v>67.151532762036297</v>
      </c>
      <c r="H91" s="3">
        <v>72.78854355475967</v>
      </c>
      <c r="I91" s="3">
        <v>116.3830878942796</v>
      </c>
    </row>
    <row r="92" spans="1:10" x14ac:dyDescent="0.25">
      <c r="A92" s="4">
        <v>0.9</v>
      </c>
      <c r="B92" s="3">
        <v>63.882092453676371</v>
      </c>
      <c r="D92" s="3">
        <v>64.677680201344984</v>
      </c>
      <c r="E92" s="3">
        <v>66.993404173206201</v>
      </c>
      <c r="F92" s="3">
        <v>80.273543498616164</v>
      </c>
      <c r="H92" s="3">
        <v>78.556082498233508</v>
      </c>
      <c r="I92" s="3">
        <v>125.4665837045594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workbookViewId="0">
      <selection activeCell="B1" sqref="B1:B1048576"/>
    </sheetView>
  </sheetViews>
  <sheetFormatPr defaultRowHeight="15" x14ac:dyDescent="0.25"/>
  <cols>
    <col min="1" max="1" width="9.5703125" style="3" bestFit="1" customWidth="1"/>
    <col min="2" max="2" width="8.5703125" style="3" bestFit="1" customWidth="1"/>
    <col min="3" max="3" width="19.85546875" style="3" bestFit="1" customWidth="1"/>
    <col min="4" max="5" width="12" style="3" bestFit="1" customWidth="1"/>
    <col min="6" max="6" width="13.7109375" style="3" bestFit="1" customWidth="1"/>
    <col min="7" max="7" width="14.7109375" style="3" bestFit="1" customWidth="1"/>
    <col min="8" max="9" width="10" style="3" bestFit="1" customWidth="1"/>
    <col min="10" max="11" width="13.28515625" style="3" bestFit="1" customWidth="1"/>
    <col min="12" max="16384" width="9.140625" style="3"/>
  </cols>
  <sheetData>
    <row r="1" spans="1:11" x14ac:dyDescent="0.25">
      <c r="A1" s="4" t="s">
        <v>9</v>
      </c>
      <c r="B1" s="4" t="s">
        <v>41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x14ac:dyDescent="0.25">
      <c r="A2" s="4">
        <v>0</v>
      </c>
      <c r="B2" s="3">
        <v>7.8350818796393144E-11</v>
      </c>
      <c r="C2" s="3">
        <v>7.8350818796393144E-11</v>
      </c>
      <c r="D2" s="3">
        <v>7.8350818796393144E-11</v>
      </c>
      <c r="E2" s="3">
        <v>7.8350818796393144E-11</v>
      </c>
      <c r="F2" s="3">
        <v>7.8350818796393144E-11</v>
      </c>
      <c r="G2" s="3">
        <v>7.8350818796393144E-11</v>
      </c>
      <c r="H2" s="3">
        <v>7.8350818796393144E-11</v>
      </c>
      <c r="I2" s="3">
        <v>7.8350818796393144E-11</v>
      </c>
      <c r="J2" s="3">
        <v>7.8350818796393144E-11</v>
      </c>
      <c r="K2" s="3">
        <v>7.8350818796393144E-11</v>
      </c>
    </row>
    <row r="3" spans="1:11" x14ac:dyDescent="0.25">
      <c r="A3" s="4">
        <v>0.01</v>
      </c>
      <c r="B3" s="3">
        <v>0.21700857915357841</v>
      </c>
      <c r="C3" s="3">
        <v>0.22136803599023649</v>
      </c>
      <c r="D3" s="3">
        <v>0.21700857915357841</v>
      </c>
      <c r="E3" s="3">
        <v>0.21700857915357841</v>
      </c>
      <c r="F3" s="3">
        <v>0.21700857915357841</v>
      </c>
      <c r="G3" s="3">
        <v>0.21700857915357841</v>
      </c>
      <c r="H3" s="3">
        <v>0.21700857915357841</v>
      </c>
      <c r="I3" s="3">
        <v>0.24677040838769351</v>
      </c>
      <c r="J3" s="3">
        <v>0.21700857915357841</v>
      </c>
      <c r="K3" s="3">
        <v>0.24677040838769351</v>
      </c>
    </row>
    <row r="4" spans="1:11" x14ac:dyDescent="0.25">
      <c r="A4" s="4">
        <v>0.02</v>
      </c>
      <c r="B4" s="3">
        <v>0.45345158058531387</v>
      </c>
      <c r="C4" s="3">
        <v>0.46845405134633922</v>
      </c>
      <c r="D4" s="3">
        <v>0.45345158058531387</v>
      </c>
      <c r="E4" s="3">
        <v>0.45345158058531387</v>
      </c>
      <c r="F4" s="3">
        <v>0.45345158058531387</v>
      </c>
      <c r="G4" s="3">
        <v>0.45345158058531387</v>
      </c>
      <c r="H4" s="3">
        <v>0.45345158058531387</v>
      </c>
      <c r="I4" s="3">
        <v>0.523860058696062</v>
      </c>
      <c r="J4" s="3">
        <v>0.45345158058531387</v>
      </c>
      <c r="K4" s="3">
        <v>0.523860058696062</v>
      </c>
    </row>
    <row r="5" spans="1:11" x14ac:dyDescent="0.25">
      <c r="A5" s="4">
        <v>0.03</v>
      </c>
      <c r="B5" s="3">
        <v>0.70268107701822691</v>
      </c>
      <c r="C5" s="3">
        <v>0.72116840260017534</v>
      </c>
      <c r="D5" s="3">
        <v>0.70268107701822691</v>
      </c>
      <c r="E5" s="3">
        <v>0.70268107701822691</v>
      </c>
      <c r="F5" s="3">
        <v>0.70268107701822691</v>
      </c>
      <c r="G5" s="3">
        <v>0.70268107701822691</v>
      </c>
      <c r="H5" s="3">
        <v>0.70268107701822691</v>
      </c>
      <c r="I5" s="3">
        <v>0.81298022196602593</v>
      </c>
      <c r="J5" s="3">
        <v>0.70268107701822691</v>
      </c>
      <c r="K5" s="3">
        <v>0.81298022196602593</v>
      </c>
    </row>
    <row r="6" spans="1:11" x14ac:dyDescent="0.25">
      <c r="A6" s="4">
        <v>0.04</v>
      </c>
      <c r="B6" s="3">
        <v>0.95488227082424593</v>
      </c>
      <c r="C6" s="3">
        <v>0.99759174683308383</v>
      </c>
      <c r="D6" s="3">
        <v>0.95488227082424593</v>
      </c>
      <c r="E6" s="3">
        <v>0.95488227082424593</v>
      </c>
      <c r="F6" s="3">
        <v>0.95488227082424593</v>
      </c>
      <c r="G6" s="3">
        <v>0.95488227082424593</v>
      </c>
      <c r="H6" s="3">
        <v>0.95488227082424593</v>
      </c>
      <c r="I6" s="3">
        <v>1.115776248540729</v>
      </c>
      <c r="J6" s="3">
        <v>0.95488227082424593</v>
      </c>
      <c r="K6" s="3">
        <v>1.115776248540729</v>
      </c>
    </row>
    <row r="7" spans="1:11" x14ac:dyDescent="0.25">
      <c r="A7" s="4">
        <v>0.05</v>
      </c>
      <c r="B7" s="3">
        <v>1.214475518874276</v>
      </c>
      <c r="C7" s="3">
        <v>1.2957343944950079</v>
      </c>
      <c r="D7" s="3">
        <v>1.214475518874276</v>
      </c>
      <c r="E7" s="3">
        <v>1.214475518874276</v>
      </c>
      <c r="F7" s="3">
        <v>1.214475518874276</v>
      </c>
      <c r="G7" s="3">
        <v>1.214475518874276</v>
      </c>
      <c r="H7" s="3">
        <v>1.214475518874276</v>
      </c>
      <c r="I7" s="3">
        <v>1.4626815775676389</v>
      </c>
      <c r="J7" s="3">
        <v>1.214475518874276</v>
      </c>
      <c r="K7" s="3">
        <v>1.4626815775676389</v>
      </c>
    </row>
    <row r="8" spans="1:11" x14ac:dyDescent="0.25">
      <c r="A8" s="4">
        <v>0.06</v>
      </c>
      <c r="B8" s="3">
        <v>1.496387620248268</v>
      </c>
      <c r="C8" s="3">
        <v>1.607990896423042</v>
      </c>
      <c r="D8" s="3">
        <v>1.496387620248268</v>
      </c>
      <c r="E8" s="3">
        <v>1.496387620248268</v>
      </c>
      <c r="F8" s="3">
        <v>1.496387620248268</v>
      </c>
      <c r="G8" s="3">
        <v>1.496387620248268</v>
      </c>
      <c r="H8" s="3">
        <v>1.496387620248268</v>
      </c>
      <c r="I8" s="3">
        <v>1.8326083660091661</v>
      </c>
      <c r="J8" s="3">
        <v>1.496387620248268</v>
      </c>
      <c r="K8" s="3">
        <v>1.8326083660091661</v>
      </c>
    </row>
    <row r="9" spans="1:11" x14ac:dyDescent="0.25">
      <c r="A9" s="4">
        <v>7.0000000000000007E-2</v>
      </c>
      <c r="B9" s="3">
        <v>1.791733035082441</v>
      </c>
      <c r="C9" s="3">
        <v>1.9353732502442731</v>
      </c>
      <c r="D9" s="3">
        <v>1.791733035082441</v>
      </c>
      <c r="E9" s="3">
        <v>1.791733035082441</v>
      </c>
      <c r="F9" s="3">
        <v>1.791733035082441</v>
      </c>
      <c r="G9" s="3">
        <v>1.7917504765802701</v>
      </c>
      <c r="H9" s="3">
        <v>1.791733035082441</v>
      </c>
      <c r="I9" s="3">
        <v>2.2155117367729762</v>
      </c>
      <c r="J9" s="3">
        <v>1.791733035082441</v>
      </c>
      <c r="K9" s="3">
        <v>2.2155117367729762</v>
      </c>
    </row>
    <row r="10" spans="1:11" x14ac:dyDescent="0.25">
      <c r="A10" s="4">
        <v>0.08</v>
      </c>
      <c r="B10" s="3">
        <v>2.0978515433967231</v>
      </c>
      <c r="C10" s="3">
        <v>2.2761079921973608</v>
      </c>
      <c r="D10" s="3">
        <v>2.0978515433967231</v>
      </c>
      <c r="E10" s="3">
        <v>2.0978515433967231</v>
      </c>
      <c r="F10" s="3">
        <v>2.0978515433967231</v>
      </c>
      <c r="G10" s="3">
        <v>2.097920074486066</v>
      </c>
      <c r="H10" s="3">
        <v>2.0978515433967231</v>
      </c>
      <c r="I10" s="3">
        <v>2.6144807333430502</v>
      </c>
      <c r="J10" s="3">
        <v>2.0978515433967231</v>
      </c>
      <c r="K10" s="3">
        <v>2.6144807333430502</v>
      </c>
    </row>
    <row r="11" spans="1:11" x14ac:dyDescent="0.25">
      <c r="A11" s="4">
        <v>0.09</v>
      </c>
      <c r="B11" s="3">
        <v>2.4119863446333101</v>
      </c>
      <c r="C11" s="3">
        <v>2.6288841640874518</v>
      </c>
      <c r="D11" s="3">
        <v>2.4119863446333101</v>
      </c>
      <c r="E11" s="3">
        <v>2.4119863446333101</v>
      </c>
      <c r="F11" s="3">
        <v>2.4119863446333101</v>
      </c>
      <c r="G11" s="3">
        <v>2.4121558271683878</v>
      </c>
      <c r="H11" s="3">
        <v>2.4119863446333101</v>
      </c>
      <c r="I11" s="3">
        <v>3.0278092274392261</v>
      </c>
      <c r="J11" s="3">
        <v>2.4119863446333101</v>
      </c>
      <c r="K11" s="3">
        <v>3.027852811467397</v>
      </c>
    </row>
    <row r="12" spans="1:11" x14ac:dyDescent="0.25">
      <c r="A12" s="4">
        <v>0.1</v>
      </c>
      <c r="B12" s="3">
        <v>2.7367612447956868</v>
      </c>
      <c r="C12" s="3">
        <v>2.9931945813688658</v>
      </c>
      <c r="D12" s="3">
        <v>2.7367612447956868</v>
      </c>
      <c r="E12" s="3">
        <v>2.7367612447956868</v>
      </c>
      <c r="F12" s="3">
        <v>2.7367612447956868</v>
      </c>
      <c r="G12" s="3">
        <v>2.737083823598951</v>
      </c>
      <c r="H12" s="3">
        <v>2.7367612447956868</v>
      </c>
      <c r="I12" s="3">
        <v>3.4541892504364231</v>
      </c>
      <c r="J12" s="3">
        <v>2.7367612447956868</v>
      </c>
      <c r="K12" s="3">
        <v>3.455600107672145</v>
      </c>
    </row>
    <row r="13" spans="1:11" x14ac:dyDescent="0.25">
      <c r="A13" s="4">
        <v>0.11</v>
      </c>
      <c r="B13" s="3">
        <v>3.071422313541639</v>
      </c>
      <c r="C13" s="3">
        <v>3.3705054659270428</v>
      </c>
      <c r="D13" s="3">
        <v>3.071422313541639</v>
      </c>
      <c r="E13" s="3">
        <v>3.071422313541639</v>
      </c>
      <c r="F13" s="3">
        <v>3.071422313541639</v>
      </c>
      <c r="G13" s="3">
        <v>3.071946238688398</v>
      </c>
      <c r="H13" s="3">
        <v>3.071422313541639</v>
      </c>
      <c r="I13" s="3">
        <v>3.893646181532787</v>
      </c>
      <c r="J13" s="3">
        <v>3.071422313541639</v>
      </c>
      <c r="K13" s="3">
        <v>3.8984376483397609</v>
      </c>
    </row>
    <row r="14" spans="1:11" x14ac:dyDescent="0.25">
      <c r="A14" s="4">
        <v>0.12</v>
      </c>
      <c r="B14" s="3">
        <v>3.4141619882946079</v>
      </c>
      <c r="C14" s="3">
        <v>3.7615311235979911</v>
      </c>
      <c r="D14" s="3">
        <v>3.4141619882946079</v>
      </c>
      <c r="E14" s="3">
        <v>3.4141619882946079</v>
      </c>
      <c r="F14" s="3">
        <v>3.41417112791643</v>
      </c>
      <c r="G14" s="3">
        <v>3.4149640811981148</v>
      </c>
      <c r="H14" s="3">
        <v>3.4141619882946079</v>
      </c>
      <c r="I14" s="3">
        <v>4.3435189268115284</v>
      </c>
      <c r="J14" s="3">
        <v>3.4141619882946079</v>
      </c>
      <c r="K14" s="3">
        <v>4.3537499351962028</v>
      </c>
    </row>
    <row r="15" spans="1:11" x14ac:dyDescent="0.25">
      <c r="A15" s="4">
        <v>0.13</v>
      </c>
      <c r="B15" s="3">
        <v>3.7651800041248742</v>
      </c>
      <c r="C15" s="3">
        <v>4.1669457516353452</v>
      </c>
      <c r="D15" s="3">
        <v>3.7651800041248742</v>
      </c>
      <c r="E15" s="3">
        <v>3.7651800041248742</v>
      </c>
      <c r="F15" s="3">
        <v>3.7652288710292341</v>
      </c>
      <c r="G15" s="3">
        <v>3.7663657589334911</v>
      </c>
      <c r="H15" s="3">
        <v>3.7651800041248742</v>
      </c>
      <c r="I15" s="3">
        <v>4.806923574119482</v>
      </c>
      <c r="J15" s="3">
        <v>3.7651800041248742</v>
      </c>
      <c r="K15" s="3">
        <v>4.825040602425303</v>
      </c>
    </row>
    <row r="16" spans="1:11" x14ac:dyDescent="0.25">
      <c r="A16" s="4">
        <v>0.14000000000000001</v>
      </c>
      <c r="B16" s="3">
        <v>4.1233737708354559</v>
      </c>
      <c r="C16" s="3">
        <v>4.5866875798993529</v>
      </c>
      <c r="D16" s="3">
        <v>4.1233737708354559</v>
      </c>
      <c r="E16" s="3">
        <v>4.1233737708354559</v>
      </c>
      <c r="F16" s="3">
        <v>4.123505573122455</v>
      </c>
      <c r="G16" s="3">
        <v>4.1250982787771697</v>
      </c>
      <c r="H16" s="3">
        <v>4.1233737708354559</v>
      </c>
      <c r="I16" s="3">
        <v>5.284208970583876</v>
      </c>
      <c r="J16" s="3">
        <v>4.1233737708354559</v>
      </c>
      <c r="K16" s="3">
        <v>5.3130030504848786</v>
      </c>
    </row>
    <row r="17" spans="1:11" x14ac:dyDescent="0.25">
      <c r="A17" s="4">
        <v>0.15</v>
      </c>
      <c r="B17" s="3">
        <v>4.4897918720516179</v>
      </c>
      <c r="C17" s="3">
        <v>5.0211246569285457</v>
      </c>
      <c r="D17" s="3">
        <v>4.4897918720516179</v>
      </c>
      <c r="E17" s="3">
        <v>4.4897918720516179</v>
      </c>
      <c r="F17" s="3">
        <v>4.4900530790000186</v>
      </c>
      <c r="G17" s="3">
        <v>4.4922527980859961</v>
      </c>
      <c r="H17" s="3">
        <v>4.4897918720516179</v>
      </c>
      <c r="I17" s="3">
        <v>5.7746922454727621</v>
      </c>
      <c r="J17" s="3">
        <v>4.4897918720516179</v>
      </c>
      <c r="K17" s="3">
        <v>5.8176333917357921</v>
      </c>
    </row>
    <row r="18" spans="1:11" x14ac:dyDescent="0.25">
      <c r="A18" s="4">
        <v>0.16</v>
      </c>
      <c r="B18" s="3">
        <v>4.8649735998529957</v>
      </c>
      <c r="C18" s="3">
        <v>5.4723191506203612</v>
      </c>
      <c r="D18" s="3">
        <v>4.8649735998529957</v>
      </c>
      <c r="E18" s="3">
        <v>4.8649735998529957</v>
      </c>
      <c r="F18" s="3">
        <v>4.8654095755423787</v>
      </c>
      <c r="G18" s="3">
        <v>4.8684450662599339</v>
      </c>
      <c r="H18" s="3">
        <v>4.8649735998529957</v>
      </c>
      <c r="I18" s="3">
        <v>6.2795834725354229</v>
      </c>
      <c r="J18" s="3">
        <v>4.8649735998529957</v>
      </c>
      <c r="K18" s="3">
        <v>6.3410264621135708</v>
      </c>
    </row>
    <row r="19" spans="1:11" x14ac:dyDescent="0.25">
      <c r="A19" s="4">
        <v>0.17</v>
      </c>
      <c r="B19" s="3">
        <v>5.2488846785991852</v>
      </c>
      <c r="C19" s="3">
        <v>5.9394631039113701</v>
      </c>
      <c r="D19" s="3">
        <v>5.2488846785991852</v>
      </c>
      <c r="E19" s="3">
        <v>5.2488846785991852</v>
      </c>
      <c r="F19" s="3">
        <v>5.2495368211863349</v>
      </c>
      <c r="G19" s="3">
        <v>5.2537061441002972</v>
      </c>
      <c r="H19" s="3">
        <v>5.2488846785991852</v>
      </c>
      <c r="I19" s="3">
        <v>6.7994729922873649</v>
      </c>
      <c r="J19" s="3">
        <v>5.2488846785991852</v>
      </c>
      <c r="K19" s="3">
        <v>6.8830907459413959</v>
      </c>
    </row>
    <row r="20" spans="1:11" x14ac:dyDescent="0.25">
      <c r="A20" s="4">
        <v>0.18</v>
      </c>
      <c r="B20" s="3">
        <v>5.6422966853956424</v>
      </c>
      <c r="C20" s="3">
        <v>6.4280738677727731</v>
      </c>
      <c r="D20" s="3">
        <v>5.6422966853956424</v>
      </c>
      <c r="E20" s="3">
        <v>5.6422966853956424</v>
      </c>
      <c r="F20" s="3">
        <v>5.6432322461603386</v>
      </c>
      <c r="G20" s="3">
        <v>5.6489154033680666</v>
      </c>
      <c r="H20" s="3">
        <v>5.6422966853956424</v>
      </c>
      <c r="I20" s="3">
        <v>7.3339533849710854</v>
      </c>
      <c r="J20" s="3">
        <v>5.6422966853956424</v>
      </c>
      <c r="K20" s="3">
        <v>7.4442883047575812</v>
      </c>
    </row>
    <row r="21" spans="1:11" x14ac:dyDescent="0.25">
      <c r="A21" s="4">
        <v>0.19</v>
      </c>
      <c r="B21" s="3">
        <v>6.0453591198767791</v>
      </c>
      <c r="C21" s="3">
        <v>6.937406664128515</v>
      </c>
      <c r="D21" s="3">
        <v>6.0453591198767791</v>
      </c>
      <c r="E21" s="3">
        <v>6.0453591198767791</v>
      </c>
      <c r="F21" s="3">
        <v>6.0466555448063248</v>
      </c>
      <c r="G21" s="3">
        <v>6.0541925727404893</v>
      </c>
      <c r="H21" s="3">
        <v>6.0453591198767791</v>
      </c>
      <c r="I21" s="3">
        <v>7.8843479862667776</v>
      </c>
      <c r="J21" s="3">
        <v>6.0453591198767791</v>
      </c>
      <c r="K21" s="3">
        <v>8.0324121997741535</v>
      </c>
    </row>
    <row r="22" spans="1:11" x14ac:dyDescent="0.25">
      <c r="A22" s="4">
        <v>0.2</v>
      </c>
      <c r="B22" s="3">
        <v>6.4579221505095044</v>
      </c>
      <c r="C22" s="3">
        <v>7.4701991055284287</v>
      </c>
      <c r="D22" s="3">
        <v>6.4579221505095044</v>
      </c>
      <c r="E22" s="3">
        <v>6.4579316235713158</v>
      </c>
      <c r="F22" s="3">
        <v>6.459673646831587</v>
      </c>
      <c r="G22" s="3">
        <v>6.4694354479863438</v>
      </c>
      <c r="H22" s="3">
        <v>6.4579221505095044</v>
      </c>
      <c r="I22" s="3">
        <v>8.4568331953657854</v>
      </c>
      <c r="J22" s="3">
        <v>6.4579316235713158</v>
      </c>
      <c r="K22" s="3">
        <v>8.652062995374008</v>
      </c>
    </row>
    <row r="23" spans="1:11" x14ac:dyDescent="0.25">
      <c r="A23" s="4">
        <v>0.21</v>
      </c>
      <c r="B23" s="3">
        <v>6.8800313698474476</v>
      </c>
      <c r="C23" s="3">
        <v>8.027091312532459</v>
      </c>
      <c r="D23" s="3">
        <v>6.8800313698474476</v>
      </c>
      <c r="E23" s="3">
        <v>6.8800908524410032</v>
      </c>
      <c r="F23" s="3">
        <v>6.8823736340301123</v>
      </c>
      <c r="G23" s="3">
        <v>6.8947714052604381</v>
      </c>
      <c r="H23" s="3">
        <v>6.8800313698474476</v>
      </c>
      <c r="I23" s="3">
        <v>9.0523657571232565</v>
      </c>
      <c r="J23" s="3">
        <v>6.8800908524410032</v>
      </c>
      <c r="K23" s="3">
        <v>9.3025663405545416</v>
      </c>
    </row>
    <row r="24" spans="1:11" x14ac:dyDescent="0.25">
      <c r="A24" s="4">
        <v>0.22</v>
      </c>
      <c r="B24" s="3">
        <v>7.3116303066346502</v>
      </c>
      <c r="C24" s="3">
        <v>8.6094368806120816</v>
      </c>
      <c r="D24" s="3">
        <v>7.3116303066346502</v>
      </c>
      <c r="E24" s="3">
        <v>7.3117893455924703</v>
      </c>
      <c r="F24" s="3">
        <v>7.3147469051592822</v>
      </c>
      <c r="G24" s="3">
        <v>7.3303549033432711</v>
      </c>
      <c r="H24" s="3">
        <v>7.3116303066346502</v>
      </c>
      <c r="I24" s="3">
        <v>9.6704965227804998</v>
      </c>
      <c r="J24" s="3">
        <v>7.3117893455924703</v>
      </c>
      <c r="K24" s="3">
        <v>9.982626070867834</v>
      </c>
    </row>
    <row r="25" spans="1:11" x14ac:dyDescent="0.25">
      <c r="A25" s="4">
        <v>0.23</v>
      </c>
      <c r="B25" s="3">
        <v>7.7546469635793436</v>
      </c>
      <c r="C25" s="3">
        <v>9.2140006513821717</v>
      </c>
      <c r="D25" s="3">
        <v>7.7546469635793436</v>
      </c>
      <c r="E25" s="3">
        <v>7.754960635241269</v>
      </c>
      <c r="F25" s="3">
        <v>7.7587737291590626</v>
      </c>
      <c r="G25" s="3">
        <v>7.7782991396102972</v>
      </c>
      <c r="H25" s="3">
        <v>7.7546469635793436</v>
      </c>
      <c r="I25" s="3">
        <v>10.31276670218058</v>
      </c>
      <c r="J25" s="3">
        <v>7.754960635241269</v>
      </c>
      <c r="K25" s="3">
        <v>10.691662861892709</v>
      </c>
    </row>
    <row r="26" spans="1:11" x14ac:dyDescent="0.25">
      <c r="A26" s="4">
        <v>0.24</v>
      </c>
      <c r="B26" s="3">
        <v>8.2084787259290515</v>
      </c>
      <c r="C26" s="3">
        <v>9.8475446719086897</v>
      </c>
      <c r="D26" s="3">
        <v>8.2084787259290515</v>
      </c>
      <c r="E26" s="3">
        <v>8.2089939745199434</v>
      </c>
      <c r="F26" s="3">
        <v>8.2138181809966024</v>
      </c>
      <c r="G26" s="3">
        <v>8.2377980627616658</v>
      </c>
      <c r="H26" s="3">
        <v>8.2084787259290515</v>
      </c>
      <c r="I26" s="3">
        <v>10.975569835417719</v>
      </c>
      <c r="J26" s="3">
        <v>8.2089939745199434</v>
      </c>
      <c r="K26" s="3">
        <v>11.42929867067806</v>
      </c>
    </row>
    <row r="27" spans="1:11" x14ac:dyDescent="0.25">
      <c r="A27" s="4">
        <v>0.25</v>
      </c>
      <c r="B27" s="3">
        <v>8.6725470177417918</v>
      </c>
      <c r="C27" s="3">
        <v>10.51651710848436</v>
      </c>
      <c r="D27" s="3">
        <v>8.6725470177417918</v>
      </c>
      <c r="E27" s="3">
        <v>8.6733102490684537</v>
      </c>
      <c r="F27" s="3">
        <v>8.6793904412211678</v>
      </c>
      <c r="G27" s="3">
        <v>8.7086475690437535</v>
      </c>
      <c r="H27" s="3">
        <v>8.6725470177417918</v>
      </c>
      <c r="I27" s="3">
        <v>11.65813954938338</v>
      </c>
      <c r="J27" s="3">
        <v>8.6733102490684537</v>
      </c>
      <c r="K27" s="3">
        <v>12.201895915808469</v>
      </c>
    </row>
    <row r="28" spans="1:11" x14ac:dyDescent="0.25">
      <c r="A28" s="4">
        <v>0.26</v>
      </c>
      <c r="B28" s="3">
        <v>9.1497377378812956</v>
      </c>
      <c r="C28" s="3">
        <v>11.21733119356983</v>
      </c>
      <c r="D28" s="3">
        <v>9.1497377378812956</v>
      </c>
      <c r="E28" s="3">
        <v>9.1508253453635255</v>
      </c>
      <c r="F28" s="3">
        <v>9.1586644706335392</v>
      </c>
      <c r="G28" s="3">
        <v>9.1947817220768346</v>
      </c>
      <c r="H28" s="3">
        <v>9.1497377378812956</v>
      </c>
      <c r="I28" s="3">
        <v>12.367606187133489</v>
      </c>
      <c r="J28" s="3">
        <v>9.1508253453635255</v>
      </c>
      <c r="K28" s="3">
        <v>13.015597502612721</v>
      </c>
    </row>
    <row r="29" spans="1:11" x14ac:dyDescent="0.25">
      <c r="A29" s="4">
        <v>0.27</v>
      </c>
      <c r="B29" s="3">
        <v>9.6421108016578554</v>
      </c>
      <c r="C29" s="3">
        <v>11.95216891026717</v>
      </c>
      <c r="D29" s="3">
        <v>9.6421108016578554</v>
      </c>
      <c r="E29" s="3">
        <v>9.643578376035018</v>
      </c>
      <c r="F29" s="3">
        <v>9.6535688338134893</v>
      </c>
      <c r="G29" s="3">
        <v>9.6974682546968989</v>
      </c>
      <c r="H29" s="3">
        <v>9.6421108016578554</v>
      </c>
      <c r="I29" s="3">
        <v>13.10579983110191</v>
      </c>
      <c r="J29" s="3">
        <v>9.643578376035018</v>
      </c>
      <c r="K29" s="3">
        <v>13.867831626171689</v>
      </c>
    </row>
    <row r="30" spans="1:11" x14ac:dyDescent="0.25">
      <c r="A30" s="4">
        <v>0.28000000000000003</v>
      </c>
      <c r="B30" s="3">
        <v>10.148061782656709</v>
      </c>
      <c r="C30" s="3">
        <v>12.72418563256511</v>
      </c>
      <c r="D30" s="3">
        <v>10.148061782656709</v>
      </c>
      <c r="E30" s="3">
        <v>10.14997509471989</v>
      </c>
      <c r="F30" s="3">
        <v>10.16246306892959</v>
      </c>
      <c r="G30" s="3">
        <v>10.21509377167836</v>
      </c>
      <c r="H30" s="3">
        <v>10.148061782656709</v>
      </c>
      <c r="I30" s="3">
        <v>13.871101871770019</v>
      </c>
      <c r="J30" s="3">
        <v>10.14997509471989</v>
      </c>
      <c r="K30" s="3">
        <v>14.753762611050719</v>
      </c>
    </row>
    <row r="31" spans="1:11" x14ac:dyDescent="0.25">
      <c r="A31" s="4">
        <v>0.28999999999999998</v>
      </c>
      <c r="B31" s="3">
        <v>10.668368961230559</v>
      </c>
      <c r="C31" s="3">
        <v>13.53431354637255</v>
      </c>
      <c r="D31" s="3">
        <v>10.668368961230559</v>
      </c>
      <c r="E31" s="3">
        <v>10.67084006683406</v>
      </c>
      <c r="F31" s="3">
        <v>10.686447894947181</v>
      </c>
      <c r="G31" s="3">
        <v>10.749967648626191</v>
      </c>
      <c r="H31" s="3">
        <v>10.668368961230559</v>
      </c>
      <c r="I31" s="3">
        <v>14.664004515005839</v>
      </c>
      <c r="J31" s="3">
        <v>10.67084006683406</v>
      </c>
      <c r="K31" s="3">
        <v>15.680996796790939</v>
      </c>
    </row>
    <row r="32" spans="1:11" x14ac:dyDescent="0.25">
      <c r="A32" s="4">
        <v>0.3</v>
      </c>
      <c r="B32" s="3">
        <v>11.205298658291159</v>
      </c>
      <c r="C32" s="3">
        <v>14.39113225514264</v>
      </c>
      <c r="D32" s="3">
        <v>11.205302418743649</v>
      </c>
      <c r="E32" s="3">
        <v>11.208437163235869</v>
      </c>
      <c r="F32" s="3">
        <v>11.22759549261122</v>
      </c>
      <c r="G32" s="3">
        <v>11.30344795109373</v>
      </c>
      <c r="H32" s="3">
        <v>11.205298658291159</v>
      </c>
      <c r="I32" s="3">
        <v>15.49871652300404</v>
      </c>
      <c r="J32" s="3">
        <v>11.208437163235869</v>
      </c>
      <c r="K32" s="3">
        <v>16.66374187621167</v>
      </c>
    </row>
    <row r="33" spans="1:11" x14ac:dyDescent="0.25">
      <c r="A33" s="4">
        <v>0.31</v>
      </c>
      <c r="B33" s="3">
        <v>11.757874693272051</v>
      </c>
      <c r="C33" s="3">
        <v>15.29753955567679</v>
      </c>
      <c r="D33" s="3">
        <v>11.75789991076288</v>
      </c>
      <c r="E33" s="3">
        <v>11.761880468388039</v>
      </c>
      <c r="F33" s="3">
        <v>11.78526704018474</v>
      </c>
      <c r="G33" s="3">
        <v>11.87622518609907</v>
      </c>
      <c r="H33" s="3">
        <v>11.757874693272051</v>
      </c>
      <c r="I33" s="3">
        <v>16.37453723147955</v>
      </c>
      <c r="J33" s="3">
        <v>11.761880468388039</v>
      </c>
      <c r="K33" s="3">
        <v>17.706199302956239</v>
      </c>
    </row>
    <row r="34" spans="1:11" x14ac:dyDescent="0.25">
      <c r="A34" s="4">
        <v>0.32</v>
      </c>
      <c r="B34" s="3">
        <v>12.32777510044701</v>
      </c>
      <c r="C34" s="3">
        <v>16.258400674529181</v>
      </c>
      <c r="D34" s="3">
        <v>12.32787481218176</v>
      </c>
      <c r="E34" s="3">
        <v>12.3329002438832</v>
      </c>
      <c r="F34" s="3">
        <v>12.3613359943395</v>
      </c>
      <c r="G34" s="3">
        <v>12.469722283723669</v>
      </c>
      <c r="H34" s="3">
        <v>12.329904023934869</v>
      </c>
      <c r="I34" s="3">
        <v>17.287916368190739</v>
      </c>
      <c r="J34" s="3">
        <v>12.33492258327437</v>
      </c>
      <c r="K34" s="3">
        <v>18.815619465254471</v>
      </c>
    </row>
    <row r="35" spans="1:11" x14ac:dyDescent="0.25">
      <c r="A35" s="4">
        <v>0.33</v>
      </c>
      <c r="B35" s="3">
        <v>12.9141553209165</v>
      </c>
      <c r="C35" s="3">
        <v>17.278513979306439</v>
      </c>
      <c r="D35" s="3">
        <v>12.914389439374441</v>
      </c>
      <c r="E35" s="3">
        <v>12.92060038782382</v>
      </c>
      <c r="F35" s="3">
        <v>12.95464357126431</v>
      </c>
      <c r="G35" s="3">
        <v>13.08195532380198</v>
      </c>
      <c r="H35" s="3">
        <v>12.9234161945572</v>
      </c>
      <c r="I35" s="3">
        <v>18.236720737918809</v>
      </c>
      <c r="J35" s="3">
        <v>12.92992213541541</v>
      </c>
      <c r="K35" s="3">
        <v>19.990131601154498</v>
      </c>
    </row>
    <row r="36" spans="1:11" x14ac:dyDescent="0.25">
      <c r="A36" s="4">
        <v>0.34</v>
      </c>
      <c r="B36" s="3">
        <v>13.51525025011111</v>
      </c>
      <c r="C36" s="3">
        <v>18.379714902688072</v>
      </c>
      <c r="D36" s="3">
        <v>13.51567563786754</v>
      </c>
      <c r="E36" s="3">
        <v>13.52323069806288</v>
      </c>
      <c r="F36" s="3">
        <v>13.56348688328338</v>
      </c>
      <c r="G36" s="3">
        <v>13.711764663413581</v>
      </c>
      <c r="H36" s="3">
        <v>13.536373517286901</v>
      </c>
      <c r="I36" s="3">
        <v>19.22902149373563</v>
      </c>
      <c r="J36" s="3">
        <v>13.54531409102386</v>
      </c>
      <c r="K36" s="3">
        <v>21.247143465621392</v>
      </c>
    </row>
    <row r="37" spans="1:11" x14ac:dyDescent="0.25">
      <c r="A37" s="4">
        <v>0.35</v>
      </c>
      <c r="B37" s="3">
        <v>14.13156166674797</v>
      </c>
      <c r="C37" s="3">
        <v>19.564981053892499</v>
      </c>
      <c r="D37" s="3">
        <v>14.13227966945505</v>
      </c>
      <c r="E37" s="3">
        <v>14.141680961408619</v>
      </c>
      <c r="F37" s="3">
        <v>14.190354747488101</v>
      </c>
      <c r="G37" s="3">
        <v>14.368898795452751</v>
      </c>
      <c r="H37" s="3">
        <v>14.16815644374331</v>
      </c>
      <c r="I37" s="3">
        <v>20.26667880018454</v>
      </c>
      <c r="J37" s="3">
        <v>14.181110302666481</v>
      </c>
      <c r="K37" s="3">
        <v>22.605821134127879</v>
      </c>
    </row>
    <row r="38" spans="1:11" x14ac:dyDescent="0.25">
      <c r="A38" s="4">
        <v>0.36</v>
      </c>
      <c r="B38" s="3">
        <v>14.771316923061081</v>
      </c>
      <c r="C38" s="3">
        <v>20.833882825947871</v>
      </c>
      <c r="D38" s="3">
        <v>14.77245807419143</v>
      </c>
      <c r="E38" s="3">
        <v>14.7844317881419</v>
      </c>
      <c r="F38" s="3">
        <v>14.8437270190192</v>
      </c>
      <c r="G38" s="3">
        <v>15.056763500571661</v>
      </c>
      <c r="H38" s="3">
        <v>14.82568756202118</v>
      </c>
      <c r="I38" s="3">
        <v>21.348752228139649</v>
      </c>
      <c r="J38" s="3">
        <v>14.844514709275909</v>
      </c>
      <c r="K38" s="3">
        <v>24.087276473292569</v>
      </c>
    </row>
    <row r="39" spans="1:11" x14ac:dyDescent="0.25">
      <c r="A39" s="4">
        <v>0.37</v>
      </c>
      <c r="B39" s="3">
        <v>15.43477075450495</v>
      </c>
      <c r="C39" s="3">
        <v>22.185371067429269</v>
      </c>
      <c r="D39" s="3">
        <v>15.43642458810746</v>
      </c>
      <c r="E39" s="3">
        <v>15.45150082328859</v>
      </c>
      <c r="F39" s="3">
        <v>15.522811900524699</v>
      </c>
      <c r="G39" s="3">
        <v>15.773463961724399</v>
      </c>
      <c r="H39" s="3">
        <v>15.50900000901802</v>
      </c>
      <c r="I39" s="3">
        <v>22.477532351352661</v>
      </c>
      <c r="J39" s="3">
        <v>15.535315042196761</v>
      </c>
      <c r="K39" s="3">
        <v>25.72753138268202</v>
      </c>
    </row>
    <row r="40" spans="1:11" x14ac:dyDescent="0.25">
      <c r="A40" s="4">
        <v>0.38</v>
      </c>
      <c r="B40" s="3">
        <v>16.119993854743338</v>
      </c>
      <c r="C40" s="3">
        <v>23.62071735206402</v>
      </c>
      <c r="D40" s="3">
        <v>16.122237877499941</v>
      </c>
      <c r="E40" s="3">
        <v>16.14097662898736</v>
      </c>
      <c r="F40" s="3">
        <v>16.225713407719979</v>
      </c>
      <c r="G40" s="3">
        <v>16.51761973274866</v>
      </c>
      <c r="H40" s="3">
        <v>16.215576819772352</v>
      </c>
      <c r="I40" s="3">
        <v>23.655122295568731</v>
      </c>
      <c r="J40" s="3">
        <v>16.251163055388041</v>
      </c>
      <c r="K40" s="3">
        <v>27.556103470899931</v>
      </c>
    </row>
    <row r="41" spans="1:11" x14ac:dyDescent="0.25">
      <c r="A41" s="4">
        <v>0.39</v>
      </c>
      <c r="B41" s="3">
        <v>16.825858435456158</v>
      </c>
      <c r="C41" s="3">
        <v>25.14695396365769</v>
      </c>
      <c r="D41" s="3">
        <v>16.828787262062281</v>
      </c>
      <c r="E41" s="3">
        <v>16.85183437098009</v>
      </c>
      <c r="F41" s="3">
        <v>16.952070013879439</v>
      </c>
      <c r="G41" s="3">
        <v>17.29234468328217</v>
      </c>
      <c r="H41" s="3">
        <v>16.944686074542929</v>
      </c>
      <c r="I41" s="3">
        <v>24.881035532074311</v>
      </c>
      <c r="J41" s="3">
        <v>16.991791630619591</v>
      </c>
      <c r="K41" s="3">
        <v>29.58643150133809</v>
      </c>
    </row>
    <row r="42" spans="1:11" x14ac:dyDescent="0.25">
      <c r="A42" s="4">
        <v>0.4</v>
      </c>
      <c r="B42" s="3">
        <v>17.554564219708588</v>
      </c>
      <c r="C42" s="3">
        <v>26.77378166675221</v>
      </c>
      <c r="D42" s="3">
        <v>17.55834380962105</v>
      </c>
      <c r="E42" s="3">
        <v>17.586586285052451</v>
      </c>
      <c r="F42" s="3">
        <v>17.705019224893729</v>
      </c>
      <c r="G42" s="3">
        <v>18.100103084398889</v>
      </c>
      <c r="H42" s="3">
        <v>17.695915899569719</v>
      </c>
      <c r="I42" s="3">
        <v>26.160482185968721</v>
      </c>
      <c r="J42" s="3">
        <v>17.75719485095652</v>
      </c>
      <c r="K42" s="3">
        <v>31.818885316168789</v>
      </c>
    </row>
    <row r="43" spans="1:11" x14ac:dyDescent="0.25">
      <c r="A43" s="4">
        <v>0.41</v>
      </c>
      <c r="B43" s="3">
        <v>18.30756363170137</v>
      </c>
      <c r="C43" s="3">
        <v>28.519720695030799</v>
      </c>
      <c r="D43" s="3">
        <v>18.312384752898481</v>
      </c>
      <c r="E43" s="3">
        <v>18.346785625496299</v>
      </c>
      <c r="F43" s="3">
        <v>18.48657386595298</v>
      </c>
      <c r="G43" s="3">
        <v>18.941114626342081</v>
      </c>
      <c r="H43" s="3">
        <v>18.473046103110821</v>
      </c>
      <c r="I43" s="3">
        <v>27.524387658090049</v>
      </c>
      <c r="J43" s="3">
        <v>18.550780051499579</v>
      </c>
      <c r="K43" s="3">
        <v>34.282820253445387</v>
      </c>
    </row>
    <row r="44" spans="1:11" x14ac:dyDescent="0.25">
      <c r="A44" s="4">
        <v>0.42</v>
      </c>
      <c r="B44" s="3">
        <v>19.08536786117817</v>
      </c>
      <c r="C44" s="3">
        <v>30.386520493308911</v>
      </c>
      <c r="D44" s="3">
        <v>19.091407390536141</v>
      </c>
      <c r="E44" s="3">
        <v>19.132622348080169</v>
      </c>
      <c r="F44" s="3">
        <v>19.296239849821831</v>
      </c>
      <c r="G44" s="3">
        <v>19.81910347092424</v>
      </c>
      <c r="H44" s="3">
        <v>19.27540712225289</v>
      </c>
      <c r="I44" s="3">
        <v>28.981041936964569</v>
      </c>
      <c r="J44" s="3">
        <v>19.373240601915469</v>
      </c>
      <c r="K44" s="3">
        <v>37.030794406191319</v>
      </c>
    </row>
    <row r="45" spans="1:11" x14ac:dyDescent="0.25">
      <c r="A45" s="4">
        <v>0.43</v>
      </c>
      <c r="B45" s="3">
        <v>19.887831884655611</v>
      </c>
      <c r="C45" s="3">
        <v>32.372620365066062</v>
      </c>
      <c r="D45" s="3">
        <v>19.895449323128929</v>
      </c>
      <c r="E45" s="3">
        <v>19.944857770667351</v>
      </c>
      <c r="F45" s="3">
        <v>20.137593203987301</v>
      </c>
      <c r="G45" s="3">
        <v>20.74297464211957</v>
      </c>
      <c r="H45" s="3">
        <v>20.108038069330359</v>
      </c>
      <c r="I45" s="3">
        <v>30.528129435627768</v>
      </c>
      <c r="J45" s="3">
        <v>20.232832314760401</v>
      </c>
      <c r="K45" s="3">
        <v>40.062143176988918</v>
      </c>
    </row>
    <row r="46" spans="1:11" x14ac:dyDescent="0.25">
      <c r="A46" s="4">
        <v>0.44</v>
      </c>
      <c r="B46" s="3">
        <v>20.71941173891949</v>
      </c>
      <c r="C46" s="3">
        <v>34.492416659486352</v>
      </c>
      <c r="D46" s="3">
        <v>20.729044268865341</v>
      </c>
      <c r="E46" s="3">
        <v>20.788323818917512</v>
      </c>
      <c r="F46" s="3">
        <v>21.01642410203841</v>
      </c>
      <c r="G46" s="3">
        <v>21.716071002290992</v>
      </c>
      <c r="H46" s="3">
        <v>20.981062554411182</v>
      </c>
      <c r="I46" s="3">
        <v>32.16109762599357</v>
      </c>
      <c r="J46" s="3">
        <v>21.140095121873252</v>
      </c>
      <c r="K46" s="3">
        <v>43.408340496703353</v>
      </c>
    </row>
    <row r="47" spans="1:11" x14ac:dyDescent="0.25">
      <c r="A47" s="4">
        <v>0.45</v>
      </c>
      <c r="B47" s="3">
        <v>21.583948728495528</v>
      </c>
      <c r="C47" s="3">
        <v>36.767558847176851</v>
      </c>
      <c r="D47" s="3">
        <v>21.596167365826421</v>
      </c>
      <c r="E47" s="3">
        <v>21.667288088997779</v>
      </c>
      <c r="F47" s="3">
        <v>21.935659922615219</v>
      </c>
      <c r="G47" s="3">
        <v>22.745536783878482</v>
      </c>
      <c r="H47" s="3">
        <v>21.896313239934091</v>
      </c>
      <c r="I47" s="3">
        <v>33.877474699465019</v>
      </c>
      <c r="J47" s="3">
        <v>22.093913793961839</v>
      </c>
      <c r="K47" s="3">
        <v>47.18859607868464</v>
      </c>
    </row>
    <row r="48" spans="1:11" x14ac:dyDescent="0.25">
      <c r="A48" s="4">
        <v>0.46</v>
      </c>
      <c r="B48" s="3">
        <v>22.48120806174726</v>
      </c>
      <c r="C48" s="3">
        <v>39.20656341816364</v>
      </c>
      <c r="D48" s="3">
        <v>22.49642929227053</v>
      </c>
      <c r="E48" s="3">
        <v>22.580742771342258</v>
      </c>
      <c r="F48" s="3">
        <v>22.896938325688659</v>
      </c>
      <c r="G48" s="3">
        <v>23.836852258264958</v>
      </c>
      <c r="H48" s="3">
        <v>22.852664074118781</v>
      </c>
      <c r="I48" s="3">
        <v>35.674051372165408</v>
      </c>
      <c r="J48" s="3">
        <v>23.096157483677281</v>
      </c>
      <c r="K48" s="3">
        <v>51.570045420567631</v>
      </c>
    </row>
    <row r="49" spans="1:11" x14ac:dyDescent="0.25">
      <c r="A49" s="4">
        <v>0.47</v>
      </c>
      <c r="B49" s="3">
        <v>23.41269789688813</v>
      </c>
      <c r="C49" s="3">
        <v>41.809630777260843</v>
      </c>
      <c r="D49" s="3">
        <v>23.432000349737979</v>
      </c>
      <c r="E49" s="3">
        <v>23.53305928099342</v>
      </c>
      <c r="F49" s="3">
        <v>23.90595403036879</v>
      </c>
      <c r="G49" s="3">
        <v>25.014893881915341</v>
      </c>
      <c r="H49" s="3">
        <v>23.85167974434026</v>
      </c>
      <c r="I49" s="3">
        <v>37.549986990013089</v>
      </c>
      <c r="J49" s="3">
        <v>24.150528507338599</v>
      </c>
      <c r="K49" s="3">
        <v>56.730764985286577</v>
      </c>
    </row>
    <row r="50" spans="1:11" x14ac:dyDescent="0.25">
      <c r="A50" s="4">
        <v>0.48</v>
      </c>
      <c r="B50" s="3">
        <v>24.38142508003726</v>
      </c>
      <c r="C50" s="3">
        <v>44.577564457397422</v>
      </c>
      <c r="D50" s="3">
        <v>24.405827107942329</v>
      </c>
      <c r="E50" s="3">
        <v>24.525660981452312</v>
      </c>
      <c r="F50" s="3">
        <v>24.964912103800629</v>
      </c>
      <c r="G50" s="3">
        <v>26.298182644455942</v>
      </c>
      <c r="H50" s="3">
        <v>24.89452929471495</v>
      </c>
      <c r="I50" s="3">
        <v>39.504754217295378</v>
      </c>
      <c r="J50" s="3">
        <v>25.25678979642408</v>
      </c>
      <c r="K50" s="3">
        <v>63.347319583128318</v>
      </c>
    </row>
    <row r="51" spans="1:11" x14ac:dyDescent="0.25">
      <c r="A51" s="4">
        <v>0.49</v>
      </c>
      <c r="B51" s="3">
        <v>25.38727395301855</v>
      </c>
      <c r="C51" s="3">
        <v>47.526775676935202</v>
      </c>
      <c r="D51" s="3">
        <v>25.418464588295201</v>
      </c>
      <c r="E51" s="3">
        <v>25.562822601524211</v>
      </c>
      <c r="F51" s="3">
        <v>26.094553877996649</v>
      </c>
      <c r="G51" s="3">
        <v>27.689469064493839</v>
      </c>
      <c r="H51" s="3">
        <v>25.98001515480685</v>
      </c>
      <c r="I51" s="3">
        <v>41.544179442712739</v>
      </c>
      <c r="J51" s="3">
        <v>26.415369538280011</v>
      </c>
      <c r="K51" s="3">
        <v>72.292194837184908</v>
      </c>
    </row>
    <row r="52" spans="1:11" x14ac:dyDescent="0.25">
      <c r="A52" s="4">
        <v>0.5</v>
      </c>
      <c r="B52" s="3">
        <v>26.443570025185672</v>
      </c>
      <c r="C52" s="3">
        <v>50.708846074544283</v>
      </c>
      <c r="D52" s="3">
        <v>26.48453291009692</v>
      </c>
      <c r="E52" s="3">
        <v>26.660938281657149</v>
      </c>
      <c r="F52" s="3">
        <v>27.298691654062111</v>
      </c>
      <c r="G52" s="3">
        <v>29.196552690285611</v>
      </c>
      <c r="H52" s="3">
        <v>27.116171975429658</v>
      </c>
      <c r="I52" s="3">
        <v>43.677121049493593</v>
      </c>
      <c r="J52" s="3">
        <v>27.642462725737371</v>
      </c>
      <c r="K52" s="3">
        <v>84.960063694630662</v>
      </c>
    </row>
    <row r="53" spans="1:11" x14ac:dyDescent="0.25">
      <c r="A53" s="4">
        <v>0.51</v>
      </c>
      <c r="B53" s="3">
        <v>27.555127592785102</v>
      </c>
      <c r="C53" s="3">
        <v>54.359225254578583</v>
      </c>
      <c r="D53" s="3">
        <v>27.607847909656311</v>
      </c>
      <c r="E53" s="3">
        <v>27.821282989219711</v>
      </c>
      <c r="F53" s="3">
        <v>28.579835965127401</v>
      </c>
      <c r="G53" s="3">
        <v>30.82818680494735</v>
      </c>
      <c r="H53" s="3">
        <v>28.31325301258633</v>
      </c>
      <c r="I53" s="3">
        <v>45.904591162797622</v>
      </c>
      <c r="J53" s="3">
        <v>28.943087601663841</v>
      </c>
      <c r="K53" s="3">
        <v>107.65474884429651</v>
      </c>
    </row>
    <row r="54" spans="1:11" x14ac:dyDescent="0.25">
      <c r="A54" s="4">
        <v>0.52</v>
      </c>
      <c r="B54" s="3">
        <v>28.721531463677479</v>
      </c>
      <c r="C54" s="3">
        <v>59.018172781737583</v>
      </c>
      <c r="D54" s="3">
        <v>28.788567377787519</v>
      </c>
      <c r="E54" s="3">
        <v>29.04561999356827</v>
      </c>
      <c r="F54" s="3">
        <v>29.939412588992631</v>
      </c>
      <c r="G54" s="3">
        <v>32.602410292181027</v>
      </c>
      <c r="H54" s="3">
        <v>29.570152081195712</v>
      </c>
      <c r="I54" s="3">
        <v>48.225606093684632</v>
      </c>
      <c r="J54" s="3">
        <v>30.31469362312583</v>
      </c>
      <c r="K54" s="3">
        <v>206.21678996041439</v>
      </c>
    </row>
    <row r="55" spans="1:11" x14ac:dyDescent="0.25">
      <c r="A55" s="4">
        <v>0.53</v>
      </c>
      <c r="B55" s="3">
        <v>29.94391959505035</v>
      </c>
      <c r="C55" s="3">
        <v>65.111136134222136</v>
      </c>
      <c r="D55" s="3">
        <v>30.02789491236128</v>
      </c>
      <c r="E55" s="3">
        <v>30.334797335458699</v>
      </c>
      <c r="F55" s="3">
        <v>31.37504274176829</v>
      </c>
      <c r="G55" s="3">
        <v>34.543121917798892</v>
      </c>
      <c r="H55" s="3">
        <v>30.88451051681648</v>
      </c>
      <c r="I55" s="3">
        <v>50.651825547435891</v>
      </c>
      <c r="J55" s="3">
        <v>31.758460076028001</v>
      </c>
    </row>
    <row r="56" spans="1:11" x14ac:dyDescent="0.25">
      <c r="A56" s="4">
        <v>0.54</v>
      </c>
      <c r="B56" s="3">
        <v>31.219525074889852</v>
      </c>
      <c r="C56" s="3">
        <v>73.588094266989671</v>
      </c>
      <c r="D56" s="3">
        <v>31.322785172415468</v>
      </c>
      <c r="E56" s="3">
        <v>31.68626857420945</v>
      </c>
      <c r="F56" s="3">
        <v>32.889737005867538</v>
      </c>
      <c r="G56" s="3">
        <v>36.688929159582962</v>
      </c>
      <c r="H56" s="3">
        <v>32.256548676622053</v>
      </c>
      <c r="I56" s="3">
        <v>53.190334558401453</v>
      </c>
      <c r="J56" s="3">
        <v>33.274062590337401</v>
      </c>
    </row>
    <row r="57" spans="1:11" x14ac:dyDescent="0.25">
      <c r="A57" s="4">
        <v>0.55000000000000004</v>
      </c>
      <c r="B57" s="3">
        <v>32.54825876116454</v>
      </c>
      <c r="C57" s="3">
        <v>85.941156195038289</v>
      </c>
      <c r="D57" s="3">
        <v>32.673982710772698</v>
      </c>
      <c r="E57" s="3">
        <v>33.102565627774887</v>
      </c>
      <c r="F57" s="3">
        <v>34.496216949539019</v>
      </c>
      <c r="G57" s="3">
        <v>39.083410270760552</v>
      </c>
      <c r="H57" s="3">
        <v>33.682302971894948</v>
      </c>
      <c r="I57" s="3">
        <v>55.856895367686597</v>
      </c>
      <c r="J57" s="3">
        <v>34.867992049477898</v>
      </c>
    </row>
    <row r="58" spans="1:11" x14ac:dyDescent="0.25">
      <c r="A58" s="4">
        <v>0.56000000000000005</v>
      </c>
      <c r="B58" s="3">
        <v>33.931307359735662</v>
      </c>
      <c r="C58" s="3">
        <v>104.4228615054064</v>
      </c>
      <c r="D58" s="3">
        <v>34.082284169254038</v>
      </c>
      <c r="E58" s="3">
        <v>34.58593021111718</v>
      </c>
      <c r="F58" s="3">
        <v>36.201290401303623</v>
      </c>
      <c r="G58" s="3">
        <v>41.75780089339753</v>
      </c>
      <c r="H58" s="3">
        <v>35.163903439533406</v>
      </c>
      <c r="I58" s="3">
        <v>58.663426151732622</v>
      </c>
      <c r="J58" s="3">
        <v>36.575322900862311</v>
      </c>
    </row>
    <row r="59" spans="1:11" x14ac:dyDescent="0.25">
      <c r="A59" s="4">
        <v>0.56999999999999995</v>
      </c>
      <c r="B59" s="3">
        <v>35.367827668811231</v>
      </c>
      <c r="C59" s="3">
        <v>133.78467244144491</v>
      </c>
      <c r="D59" s="3">
        <v>35.549947566890843</v>
      </c>
      <c r="E59" s="3">
        <v>36.142263069553181</v>
      </c>
      <c r="F59" s="3">
        <v>38.013720494669691</v>
      </c>
      <c r="G59" s="3">
        <v>44.76156958458057</v>
      </c>
      <c r="H59" s="3">
        <v>36.707148990121269</v>
      </c>
      <c r="I59" s="3">
        <v>61.626478258198247</v>
      </c>
      <c r="J59" s="3">
        <v>38.434818322086677</v>
      </c>
    </row>
    <row r="60" spans="1:11" x14ac:dyDescent="0.25">
      <c r="A60" s="4">
        <v>0.57999999999999996</v>
      </c>
      <c r="B60" s="3">
        <v>36.862311267315768</v>
      </c>
      <c r="C60" s="3">
        <v>185.74509485533679</v>
      </c>
      <c r="D60" s="3">
        <v>37.080807604595769</v>
      </c>
      <c r="E60" s="3">
        <v>37.778552520867592</v>
      </c>
      <c r="F60" s="3">
        <v>39.953672455784741</v>
      </c>
      <c r="G60" s="3">
        <v>48.110380911520643</v>
      </c>
      <c r="H60" s="3">
        <v>38.34573185215627</v>
      </c>
      <c r="I60" s="3">
        <v>64.76939600154779</v>
      </c>
      <c r="J60" s="3">
        <v>40.44515638390844</v>
      </c>
    </row>
    <row r="61" spans="1:11" x14ac:dyDescent="0.25">
      <c r="A61" s="4">
        <v>0.59</v>
      </c>
      <c r="B61" s="3">
        <v>38.417941398282579</v>
      </c>
      <c r="D61" s="3">
        <v>38.680384243351419</v>
      </c>
      <c r="E61" s="3">
        <v>39.502064292967098</v>
      </c>
      <c r="F61" s="3">
        <v>42.030585436266627</v>
      </c>
      <c r="G61" s="3">
        <v>51.8929511095198</v>
      </c>
      <c r="H61" s="3">
        <v>40.090299891840679</v>
      </c>
      <c r="I61" s="3">
        <v>68.111256008252738</v>
      </c>
      <c r="J61" s="3">
        <v>42.605520605409957</v>
      </c>
    </row>
    <row r="62" spans="1:11" x14ac:dyDescent="0.25">
      <c r="A62" s="4">
        <v>0.6</v>
      </c>
      <c r="B62" s="3">
        <v>40.038697678292749</v>
      </c>
      <c r="D62" s="3">
        <v>40.354383531111573</v>
      </c>
      <c r="E62" s="3">
        <v>41.326945622810541</v>
      </c>
      <c r="F62" s="3">
        <v>44.246089126946181</v>
      </c>
      <c r="G62" s="3">
        <v>56.228518451330892</v>
      </c>
      <c r="H62" s="3">
        <v>41.936303683209587</v>
      </c>
      <c r="I62" s="3">
        <v>71.664318406722629</v>
      </c>
      <c r="J62" s="3">
        <v>44.933604794205557</v>
      </c>
    </row>
    <row r="63" spans="1:11" x14ac:dyDescent="0.25">
      <c r="A63" s="4">
        <v>0.61</v>
      </c>
      <c r="B63" s="3">
        <v>41.734524110198556</v>
      </c>
      <c r="D63" s="3">
        <v>42.11523309874395</v>
      </c>
      <c r="E63" s="3">
        <v>43.253616787744242</v>
      </c>
      <c r="F63" s="3">
        <v>46.603092765222932</v>
      </c>
      <c r="G63" s="3">
        <v>61.256028782551873</v>
      </c>
      <c r="H63" s="3">
        <v>43.880187247857293</v>
      </c>
      <c r="I63" s="3">
        <v>75.444659817687963</v>
      </c>
      <c r="J63" s="3">
        <v>47.466528374760983</v>
      </c>
    </row>
    <row r="64" spans="1:11" x14ac:dyDescent="0.25">
      <c r="A64" s="4">
        <v>0.62</v>
      </c>
      <c r="B64" s="3">
        <v>43.508830463872101</v>
      </c>
      <c r="D64" s="3">
        <v>43.962644324628087</v>
      </c>
      <c r="E64" s="3">
        <v>45.2782579823131</v>
      </c>
      <c r="F64" s="3">
        <v>49.100899413696837</v>
      </c>
      <c r="G64" s="3">
        <v>68.238112018383617</v>
      </c>
      <c r="H64" s="3">
        <v>45.92851586987922</v>
      </c>
      <c r="I64" s="3">
        <v>79.479468106620857</v>
      </c>
      <c r="J64" s="3">
        <v>50.263469729134549</v>
      </c>
    </row>
    <row r="65" spans="1:10" x14ac:dyDescent="0.25">
      <c r="A65" s="4">
        <v>0.63</v>
      </c>
      <c r="B65" s="3">
        <v>45.358183185154793</v>
      </c>
      <c r="D65" s="3">
        <v>45.893925046166679</v>
      </c>
      <c r="E65" s="3">
        <v>47.40488369713745</v>
      </c>
      <c r="F65" s="3">
        <v>51.764037456112931</v>
      </c>
      <c r="H65" s="3">
        <v>48.104094348919332</v>
      </c>
      <c r="I65" s="3">
        <v>83.789371046059742</v>
      </c>
      <c r="J65" s="3">
        <v>53.390141511853138</v>
      </c>
    </row>
    <row r="66" spans="1:10" x14ac:dyDescent="0.25">
      <c r="A66" s="4">
        <v>0.64</v>
      </c>
      <c r="B66" s="3">
        <v>47.280489569556757</v>
      </c>
      <c r="D66" s="3">
        <v>47.910806094087768</v>
      </c>
      <c r="E66" s="3">
        <v>49.639330719824592</v>
      </c>
      <c r="F66" s="3">
        <v>54.624626996579288</v>
      </c>
      <c r="H66" s="3">
        <v>50.441149441617803</v>
      </c>
      <c r="I66" s="3">
        <v>88.374234474430153</v>
      </c>
      <c r="J66" s="3">
        <v>56.871689485103211</v>
      </c>
    </row>
    <row r="67" spans="1:10" x14ac:dyDescent="0.25">
      <c r="A67" s="4">
        <v>0.65</v>
      </c>
      <c r="B67" s="3">
        <v>49.281482270371093</v>
      </c>
      <c r="D67" s="3">
        <v>50.021322654522173</v>
      </c>
      <c r="E67" s="3">
        <v>51.993545931908187</v>
      </c>
      <c r="F67" s="3">
        <v>57.702988163338929</v>
      </c>
      <c r="H67" s="3">
        <v>52.947650854900857</v>
      </c>
      <c r="I67" s="3">
        <v>93.2281065744491</v>
      </c>
      <c r="J67" s="3">
        <v>60.731480545712188</v>
      </c>
    </row>
    <row r="68" spans="1:10" x14ac:dyDescent="0.25">
      <c r="A68" s="4">
        <v>0.66</v>
      </c>
      <c r="B68" s="3">
        <v>51.366782177568957</v>
      </c>
      <c r="D68" s="3">
        <v>52.235771725991938</v>
      </c>
      <c r="E68" s="3">
        <v>54.477459091232703</v>
      </c>
      <c r="F68" s="3">
        <v>61.010752211938843</v>
      </c>
      <c r="H68" s="3">
        <v>55.630778119627493</v>
      </c>
      <c r="I68" s="3">
        <v>98.342689898998586</v>
      </c>
      <c r="J68" s="3">
        <v>65.131266733067747</v>
      </c>
    </row>
    <row r="69" spans="1:10" x14ac:dyDescent="0.25">
      <c r="A69" s="4">
        <v>0.67</v>
      </c>
      <c r="B69" s="3">
        <v>53.54907242855672</v>
      </c>
      <c r="D69" s="3">
        <v>54.563275581957249</v>
      </c>
      <c r="E69" s="3">
        <v>57.102862593481262</v>
      </c>
      <c r="F69" s="3">
        <v>64.573852634399486</v>
      </c>
      <c r="H69" s="3">
        <v>58.49278992665301</v>
      </c>
      <c r="I69" s="3">
        <v>103.7231780899581</v>
      </c>
      <c r="J69" s="3">
        <v>70.383468767721254</v>
      </c>
    </row>
    <row r="70" spans="1:10" x14ac:dyDescent="0.25">
      <c r="A70" s="4">
        <v>0.68</v>
      </c>
      <c r="B70" s="3">
        <v>55.829227071950612</v>
      </c>
      <c r="D70" s="3">
        <v>57.008247851104407</v>
      </c>
      <c r="E70" s="3">
        <v>59.875620205905371</v>
      </c>
      <c r="F70" s="3">
        <v>68.421485483303456</v>
      </c>
      <c r="H70" s="3">
        <v>61.533583888441598</v>
      </c>
      <c r="I70" s="3">
        <v>109.422392650451</v>
      </c>
      <c r="J70" s="3">
        <v>76.69660006696779</v>
      </c>
    </row>
    <row r="71" spans="1:10" x14ac:dyDescent="0.25">
      <c r="A71" s="4">
        <v>0.69</v>
      </c>
      <c r="B71" s="3">
        <v>58.209567849732629</v>
      </c>
      <c r="D71" s="3">
        <v>59.573455325620287</v>
      </c>
      <c r="E71" s="3">
        <v>62.800142189780132</v>
      </c>
      <c r="F71" s="3">
        <v>72.759126014449834</v>
      </c>
      <c r="H71" s="3">
        <v>64.751674486378377</v>
      </c>
      <c r="I71" s="3">
        <v>115.5512556997741</v>
      </c>
      <c r="J71" s="3">
        <v>84.310368477221004</v>
      </c>
    </row>
    <row r="72" spans="1:10" x14ac:dyDescent="0.25">
      <c r="A72" s="4">
        <v>0.7</v>
      </c>
      <c r="B72" s="3">
        <v>60.688179763426547</v>
      </c>
      <c r="D72" s="3">
        <v>62.257125385789998</v>
      </c>
      <c r="E72" s="3">
        <v>65.888246897074026</v>
      </c>
      <c r="F72" s="3">
        <v>78.890563682396717</v>
      </c>
      <c r="H72" s="3">
        <v>68.184311457857035</v>
      </c>
      <c r="I72" s="3">
        <v>122.1309123972036</v>
      </c>
      <c r="J72" s="3">
        <v>94.851325342269817</v>
      </c>
    </row>
    <row r="73" spans="1:10" x14ac:dyDescent="0.25">
      <c r="A73" s="4">
        <v>0.71</v>
      </c>
      <c r="B73" s="3">
        <v>63.261403168587329</v>
      </c>
      <c r="D73" s="3">
        <v>65.063848044966377</v>
      </c>
      <c r="E73" s="3">
        <v>69.138753448874496</v>
      </c>
      <c r="F73" s="3">
        <v>90.998841464529633</v>
      </c>
      <c r="H73" s="3">
        <v>71.890727436551956</v>
      </c>
      <c r="I73" s="3">
        <v>129.26507095925481</v>
      </c>
      <c r="J73" s="3">
        <v>114.2600272436006</v>
      </c>
    </row>
    <row r="74" spans="1:10" x14ac:dyDescent="0.25">
      <c r="A74" s="4">
        <v>0.72</v>
      </c>
      <c r="B74" s="3">
        <v>65.92803158626252</v>
      </c>
      <c r="D74" s="3">
        <v>68.000500543896152</v>
      </c>
      <c r="E74" s="3">
        <v>72.604609187183385</v>
      </c>
      <c r="F74" s="3">
        <v>117.28888948167</v>
      </c>
      <c r="H74" s="3">
        <v>75.8739806658578</v>
      </c>
      <c r="I74" s="3">
        <v>137.14618527981881</v>
      </c>
      <c r="J74" s="3">
        <v>165.2370425163752</v>
      </c>
    </row>
    <row r="75" spans="1:10" x14ac:dyDescent="0.25">
      <c r="A75" s="4">
        <v>0.73</v>
      </c>
      <c r="B75" s="3">
        <v>68.698728139688626</v>
      </c>
      <c r="D75" s="3">
        <v>71.069684532850061</v>
      </c>
      <c r="E75" s="3">
        <v>76.41811804369793</v>
      </c>
      <c r="H75" s="3">
        <v>80.123937812641643</v>
      </c>
      <c r="I75" s="3">
        <v>145.88256205998221</v>
      </c>
    </row>
    <row r="76" spans="1:10" x14ac:dyDescent="0.25">
      <c r="A76" s="4">
        <v>0.74</v>
      </c>
      <c r="B76" s="3">
        <v>71.579312476700153</v>
      </c>
      <c r="D76" s="3">
        <v>74.315226780590464</v>
      </c>
      <c r="E76" s="3">
        <v>81.177720619891403</v>
      </c>
      <c r="H76" s="3">
        <v>84.648101982511022</v>
      </c>
      <c r="I76" s="3">
        <v>155.5734228341268</v>
      </c>
    </row>
    <row r="77" spans="1:10" x14ac:dyDescent="0.25">
      <c r="A77" s="4">
        <v>0.75</v>
      </c>
      <c r="B77" s="3">
        <v>74.580381976835255</v>
      </c>
      <c r="D77" s="3">
        <v>77.811409058068151</v>
      </c>
      <c r="E77" s="3">
        <v>87.439709668973137</v>
      </c>
      <c r="H77" s="3">
        <v>89.440149901814792</v>
      </c>
      <c r="I77" s="3">
        <v>166.27406792055299</v>
      </c>
    </row>
    <row r="78" spans="1:10" x14ac:dyDescent="0.25">
      <c r="A78" s="4">
        <v>0.76</v>
      </c>
      <c r="B78" s="3">
        <v>77.745667944740077</v>
      </c>
      <c r="D78" s="3">
        <v>81.879958535237137</v>
      </c>
      <c r="E78" s="3">
        <v>96.052863481341632</v>
      </c>
      <c r="H78" s="3">
        <v>94.575637857021846</v>
      </c>
      <c r="I78" s="3">
        <v>178.10856746577801</v>
      </c>
    </row>
    <row r="79" spans="1:10" x14ac:dyDescent="0.25">
      <c r="A79" s="4">
        <v>0.77</v>
      </c>
      <c r="B79" s="3">
        <v>81.159123337243955</v>
      </c>
      <c r="D79" s="3">
        <v>86.766135187078945</v>
      </c>
      <c r="E79" s="3">
        <v>110.06014492810721</v>
      </c>
      <c r="H79" s="3">
        <v>100.2008234769103</v>
      </c>
      <c r="I79" s="3">
        <v>191.29053821855069</v>
      </c>
    </row>
    <row r="80" spans="1:10" x14ac:dyDescent="0.25">
      <c r="A80" s="4">
        <v>0.78</v>
      </c>
      <c r="B80" s="3">
        <v>85.01516303623913</v>
      </c>
      <c r="D80" s="3">
        <v>92.700660733562785</v>
      </c>
      <c r="E80" s="3">
        <v>140.4018627319445</v>
      </c>
      <c r="H80" s="3">
        <v>106.4029473599396</v>
      </c>
      <c r="I80" s="3">
        <v>205.9852018221095</v>
      </c>
    </row>
    <row r="81" spans="1:9" x14ac:dyDescent="0.25">
      <c r="A81" s="4">
        <v>0.79</v>
      </c>
      <c r="B81" s="3">
        <v>89.427025266409217</v>
      </c>
      <c r="D81" s="3">
        <v>100.13629986378059</v>
      </c>
      <c r="H81" s="3">
        <v>113.3432311062094</v>
      </c>
      <c r="I81" s="3">
        <v>222.2951817409409</v>
      </c>
    </row>
    <row r="82" spans="1:9" x14ac:dyDescent="0.25">
      <c r="A82" s="4">
        <v>0.8</v>
      </c>
      <c r="B82" s="3">
        <v>94.476575621946679</v>
      </c>
      <c r="D82" s="3">
        <v>110.1144922141556</v>
      </c>
      <c r="H82" s="3">
        <v>121.27405026476551</v>
      </c>
      <c r="I82" s="3">
        <v>240.25291732468301</v>
      </c>
    </row>
    <row r="83" spans="1:9" x14ac:dyDescent="0.25">
      <c r="A83" s="4">
        <v>0.81</v>
      </c>
      <c r="B83" s="3">
        <v>100.3321453804045</v>
      </c>
      <c r="D83" s="3">
        <v>124.25542863686491</v>
      </c>
      <c r="H83" s="3">
        <v>130.4884321571252</v>
      </c>
      <c r="I83" s="3">
        <v>259.9411348755566</v>
      </c>
    </row>
    <row r="84" spans="1:9" x14ac:dyDescent="0.25">
      <c r="A84" s="4">
        <v>0.82</v>
      </c>
      <c r="B84" s="3">
        <v>107.18567296426281</v>
      </c>
      <c r="D84" s="3">
        <v>146.15533539947091</v>
      </c>
      <c r="H84" s="3">
        <v>141.2557381093219</v>
      </c>
      <c r="I84" s="3">
        <v>281.62131536785421</v>
      </c>
    </row>
    <row r="85" spans="1:9" x14ac:dyDescent="0.25">
      <c r="A85" s="4">
        <v>0.83</v>
      </c>
      <c r="B85" s="3">
        <v>115.2847756931597</v>
      </c>
      <c r="D85" s="3">
        <v>179.22387714890939</v>
      </c>
      <c r="H85" s="3">
        <v>153.8123121651368</v>
      </c>
      <c r="I85" s="3">
        <v>305.39838968612179</v>
      </c>
    </row>
    <row r="86" spans="1:9" x14ac:dyDescent="0.25">
      <c r="A86" s="4">
        <v>0.84</v>
      </c>
      <c r="B86" s="3">
        <v>124.7635047287242</v>
      </c>
      <c r="D86" s="3">
        <v>259.70247371182728</v>
      </c>
      <c r="H86" s="3">
        <v>168.78586471876449</v>
      </c>
      <c r="I86" s="3">
        <v>332.40020967417558</v>
      </c>
    </row>
    <row r="87" spans="1:9" x14ac:dyDescent="0.25">
      <c r="A87" s="4">
        <v>0.85</v>
      </c>
      <c r="B87" s="3">
        <v>135.76350233742971</v>
      </c>
      <c r="H87" s="3">
        <v>186.60364470617529</v>
      </c>
      <c r="I87" s="3">
        <v>363.39040677307321</v>
      </c>
    </row>
    <row r="88" spans="1:9" x14ac:dyDescent="0.25">
      <c r="A88" s="4">
        <v>0.86</v>
      </c>
      <c r="B88" s="3">
        <v>148.74706848037141</v>
      </c>
      <c r="H88" s="3">
        <v>208.1365167098964</v>
      </c>
      <c r="I88" s="3">
        <v>399.23834676449297</v>
      </c>
    </row>
    <row r="89" spans="1:9" x14ac:dyDescent="0.25">
      <c r="A89" s="4">
        <v>0.87</v>
      </c>
      <c r="B89" s="3">
        <v>164.9505202277887</v>
      </c>
      <c r="H89" s="3">
        <v>234.02678360994241</v>
      </c>
      <c r="I89" s="3">
        <v>446.62173475100241</v>
      </c>
    </row>
    <row r="90" spans="1:9" x14ac:dyDescent="0.25">
      <c r="A90" s="4">
        <v>0.88</v>
      </c>
      <c r="B90" s="3">
        <v>186.0561580347171</v>
      </c>
      <c r="H90" s="3">
        <v>264.55747208611092</v>
      </c>
      <c r="I90" s="3">
        <v>590.62254863987062</v>
      </c>
    </row>
    <row r="91" spans="1:9" x14ac:dyDescent="0.25">
      <c r="A91" s="4">
        <v>0.89</v>
      </c>
      <c r="B91" s="3">
        <v>211.90182244080839</v>
      </c>
      <c r="H91" s="3">
        <v>302.98144961458428</v>
      </c>
    </row>
    <row r="92" spans="1:9" x14ac:dyDescent="0.25">
      <c r="A92" s="4">
        <v>0.9</v>
      </c>
      <c r="B92" s="3">
        <v>244.0642920178862</v>
      </c>
      <c r="H92" s="3">
        <v>440.3343697703566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workbookViewId="0">
      <selection activeCell="B1" sqref="B1:B1048576"/>
    </sheetView>
  </sheetViews>
  <sheetFormatPr defaultRowHeight="15" x14ac:dyDescent="0.25"/>
  <cols>
    <col min="1" max="1" width="9.5703125" style="3" bestFit="1" customWidth="1"/>
    <col min="2" max="2" width="8.5703125" style="3" bestFit="1" customWidth="1"/>
    <col min="3" max="3" width="19.85546875" style="3" bestFit="1" customWidth="1"/>
    <col min="4" max="5" width="12" style="3" bestFit="1" customWidth="1"/>
    <col min="6" max="6" width="13.7109375" style="3" bestFit="1" customWidth="1"/>
    <col min="7" max="7" width="14.7109375" style="3" bestFit="1" customWidth="1"/>
    <col min="8" max="9" width="10" style="3" bestFit="1" customWidth="1"/>
    <col min="10" max="11" width="13.28515625" style="3" bestFit="1" customWidth="1"/>
    <col min="12" max="16384" width="9.140625" style="3"/>
  </cols>
  <sheetData>
    <row r="1" spans="1:11" x14ac:dyDescent="0.25">
      <c r="A1" s="4" t="s">
        <v>9</v>
      </c>
      <c r="B1" s="4" t="s">
        <v>41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x14ac:dyDescent="0.25">
      <c r="A2" s="4">
        <v>0</v>
      </c>
      <c r="B2" s="3">
        <v>7.8350818796393144E-11</v>
      </c>
      <c r="C2" s="3">
        <v>7.8350818796393144E-11</v>
      </c>
      <c r="D2" s="3">
        <v>7.8350818796393144E-11</v>
      </c>
      <c r="E2" s="3">
        <v>7.8350818796393144E-11</v>
      </c>
      <c r="F2" s="3">
        <v>7.8350818796393144E-11</v>
      </c>
      <c r="G2" s="3">
        <v>7.8350818796393144E-11</v>
      </c>
      <c r="H2" s="3">
        <v>7.8350818796393144E-11</v>
      </c>
      <c r="I2" s="3">
        <v>7.8350818796393144E-11</v>
      </c>
      <c r="J2" s="3">
        <v>7.8350818796393144E-11</v>
      </c>
      <c r="K2" s="3">
        <v>7.8350818796393144E-11</v>
      </c>
    </row>
    <row r="3" spans="1:11" x14ac:dyDescent="0.25">
      <c r="A3" s="4">
        <v>0.01</v>
      </c>
      <c r="B3" s="3">
        <v>0.2984483412500471</v>
      </c>
      <c r="C3" s="3">
        <v>0.29859647474110301</v>
      </c>
      <c r="D3" s="3">
        <v>0.2984483412500471</v>
      </c>
      <c r="E3" s="3">
        <v>0.2984483412500471</v>
      </c>
      <c r="F3" s="3">
        <v>0.2984483412500471</v>
      </c>
      <c r="G3" s="3">
        <v>0.2984483412500471</v>
      </c>
      <c r="H3" s="3">
        <v>0.2984483412500471</v>
      </c>
      <c r="I3" s="3">
        <v>0.33110699339599969</v>
      </c>
      <c r="J3" s="3">
        <v>0.2984483412500471</v>
      </c>
      <c r="K3" s="3">
        <v>0.33110699339599969</v>
      </c>
    </row>
    <row r="4" spans="1:11" x14ac:dyDescent="0.25">
      <c r="A4" s="4">
        <v>0.02</v>
      </c>
      <c r="B4" s="3">
        <v>0.59803163116840108</v>
      </c>
      <c r="C4" s="3">
        <v>0.60026536114009665</v>
      </c>
      <c r="D4" s="3">
        <v>0.59803163116840108</v>
      </c>
      <c r="E4" s="3">
        <v>0.59803163116840108</v>
      </c>
      <c r="F4" s="3">
        <v>0.59803163116840108</v>
      </c>
      <c r="G4" s="3">
        <v>0.59803163116840108</v>
      </c>
      <c r="H4" s="3">
        <v>0.59803163116840108</v>
      </c>
      <c r="I4" s="3">
        <v>0.66293401220899351</v>
      </c>
      <c r="J4" s="3">
        <v>0.59803163116840108</v>
      </c>
      <c r="K4" s="3">
        <v>0.66293401220899351</v>
      </c>
    </row>
    <row r="5" spans="1:11" x14ac:dyDescent="0.25">
      <c r="A5" s="4">
        <v>0.03</v>
      </c>
      <c r="B5" s="3">
        <v>0.90039804170922522</v>
      </c>
      <c r="C5" s="3">
        <v>0.90484976836049014</v>
      </c>
      <c r="D5" s="3">
        <v>0.90039804170922522</v>
      </c>
      <c r="E5" s="3">
        <v>0.90039804170922522</v>
      </c>
      <c r="F5" s="3">
        <v>0.90039804170922522</v>
      </c>
      <c r="G5" s="3">
        <v>0.90039804170922522</v>
      </c>
      <c r="H5" s="3">
        <v>0.90039804170922522</v>
      </c>
      <c r="I5" s="3">
        <v>0.99900331063470271</v>
      </c>
      <c r="J5" s="3">
        <v>0.90039804170922522</v>
      </c>
      <c r="K5" s="3">
        <v>0.99900331063470271</v>
      </c>
    </row>
    <row r="6" spans="1:11" x14ac:dyDescent="0.25">
      <c r="A6" s="4">
        <v>0.04</v>
      </c>
      <c r="B6" s="3">
        <v>1.2047613861349129</v>
      </c>
      <c r="C6" s="3">
        <v>1.211505049451451</v>
      </c>
      <c r="D6" s="3">
        <v>1.2047613861349129</v>
      </c>
      <c r="E6" s="3">
        <v>1.2047613861349129</v>
      </c>
      <c r="F6" s="3">
        <v>1.2047613861349129</v>
      </c>
      <c r="G6" s="3">
        <v>1.2047613861349129</v>
      </c>
      <c r="H6" s="3">
        <v>1.2047613861349129</v>
      </c>
      <c r="I6" s="3">
        <v>1.3369318443371601</v>
      </c>
      <c r="J6" s="3">
        <v>1.2047613861349129</v>
      </c>
      <c r="K6" s="3">
        <v>1.3369318443371601</v>
      </c>
    </row>
    <row r="7" spans="1:11" x14ac:dyDescent="0.25">
      <c r="A7" s="4">
        <v>0.05</v>
      </c>
      <c r="B7" s="3">
        <v>1.5099222345474881</v>
      </c>
      <c r="C7" s="3">
        <v>1.5218167753416689</v>
      </c>
      <c r="D7" s="3">
        <v>1.5099222345474881</v>
      </c>
      <c r="E7" s="3">
        <v>1.5099222345474881</v>
      </c>
      <c r="F7" s="3">
        <v>1.5099222345474881</v>
      </c>
      <c r="G7" s="3">
        <v>1.5099222345474881</v>
      </c>
      <c r="H7" s="3">
        <v>1.5099222345474881</v>
      </c>
      <c r="I7" s="3">
        <v>1.67740764021753</v>
      </c>
      <c r="J7" s="3">
        <v>1.5099222345474881</v>
      </c>
      <c r="K7" s="3">
        <v>1.67740764021753</v>
      </c>
    </row>
    <row r="8" spans="1:11" x14ac:dyDescent="0.25">
      <c r="A8" s="4">
        <v>0.06</v>
      </c>
      <c r="B8" s="3">
        <v>1.817257574176526</v>
      </c>
      <c r="C8" s="3">
        <v>1.8340886133120029</v>
      </c>
      <c r="D8" s="3">
        <v>1.817257574176526</v>
      </c>
      <c r="E8" s="3">
        <v>1.817257574176526</v>
      </c>
      <c r="F8" s="3">
        <v>1.817257574176526</v>
      </c>
      <c r="G8" s="3">
        <v>1.817257574176526</v>
      </c>
      <c r="H8" s="3">
        <v>1.817257574176526</v>
      </c>
      <c r="I8" s="3">
        <v>2.021904190813248</v>
      </c>
      <c r="J8" s="3">
        <v>1.817257574176526</v>
      </c>
      <c r="K8" s="3">
        <v>2.021904190813248</v>
      </c>
    </row>
    <row r="9" spans="1:11" x14ac:dyDescent="0.25">
      <c r="A9" s="4">
        <v>7.0000000000000007E-2</v>
      </c>
      <c r="B9" s="3">
        <v>2.1271472101487512</v>
      </c>
      <c r="C9" s="3">
        <v>2.1510088672586001</v>
      </c>
      <c r="D9" s="3">
        <v>2.1271472101487512</v>
      </c>
      <c r="E9" s="3">
        <v>2.1271472101487512</v>
      </c>
      <c r="F9" s="3">
        <v>2.1271472101487512</v>
      </c>
      <c r="G9" s="3">
        <v>2.1271473125494071</v>
      </c>
      <c r="H9" s="3">
        <v>2.1271472101487512</v>
      </c>
      <c r="I9" s="3">
        <v>2.3687187064130408</v>
      </c>
      <c r="J9" s="3">
        <v>2.1271472101487512</v>
      </c>
      <c r="K9" s="3">
        <v>2.3687187064130408</v>
      </c>
    </row>
    <row r="10" spans="1:11" x14ac:dyDescent="0.25">
      <c r="A10" s="4">
        <v>0.08</v>
      </c>
      <c r="B10" s="3">
        <v>2.43861756792771</v>
      </c>
      <c r="C10" s="3">
        <v>2.4818922017817839</v>
      </c>
      <c r="D10" s="3">
        <v>2.43861756792771</v>
      </c>
      <c r="E10" s="3">
        <v>2.43861756792771</v>
      </c>
      <c r="F10" s="3">
        <v>2.43861756792771</v>
      </c>
      <c r="G10" s="3">
        <v>2.43862806641659</v>
      </c>
      <c r="H10" s="3">
        <v>2.43861756792771</v>
      </c>
      <c r="I10" s="3">
        <v>2.7172843325484681</v>
      </c>
      <c r="J10" s="3">
        <v>2.43861756792771</v>
      </c>
      <c r="K10" s="3">
        <v>2.7172843325484681</v>
      </c>
    </row>
    <row r="11" spans="1:11" x14ac:dyDescent="0.25">
      <c r="A11" s="4">
        <v>0.09</v>
      </c>
      <c r="B11" s="3">
        <v>2.751132919967108</v>
      </c>
      <c r="C11" s="3">
        <v>2.82345989352907</v>
      </c>
      <c r="D11" s="3">
        <v>2.751132919967108</v>
      </c>
      <c r="E11" s="3">
        <v>2.751132919967108</v>
      </c>
      <c r="F11" s="3">
        <v>2.751132919967108</v>
      </c>
      <c r="G11" s="3">
        <v>2.7511761814311799</v>
      </c>
      <c r="H11" s="3">
        <v>2.751132919967108</v>
      </c>
      <c r="I11" s="3">
        <v>3.0779917127931928</v>
      </c>
      <c r="J11" s="3">
        <v>2.751132919967108</v>
      </c>
      <c r="K11" s="3">
        <v>3.0779917127931928</v>
      </c>
    </row>
    <row r="12" spans="1:11" x14ac:dyDescent="0.25">
      <c r="A12" s="4">
        <v>0.1</v>
      </c>
      <c r="B12" s="3">
        <v>3.0658347279115401</v>
      </c>
      <c r="C12" s="3">
        <v>3.17543708731167</v>
      </c>
      <c r="D12" s="3">
        <v>3.0658347279115401</v>
      </c>
      <c r="E12" s="3">
        <v>3.0658347279115401</v>
      </c>
      <c r="F12" s="3">
        <v>3.0658347279115401</v>
      </c>
      <c r="G12" s="3">
        <v>3.0659353037656452</v>
      </c>
      <c r="H12" s="3">
        <v>3.0658347279115401</v>
      </c>
      <c r="I12" s="3">
        <v>3.4552199787609621</v>
      </c>
      <c r="J12" s="3">
        <v>3.0658347279115401</v>
      </c>
      <c r="K12" s="3">
        <v>3.4552199787609621</v>
      </c>
    </row>
    <row r="13" spans="1:11" x14ac:dyDescent="0.25">
      <c r="A13" s="4">
        <v>0.11</v>
      </c>
      <c r="B13" s="3">
        <v>3.3898032713546642</v>
      </c>
      <c r="C13" s="3">
        <v>3.5368570066765548</v>
      </c>
      <c r="D13" s="3">
        <v>3.3898032713546642</v>
      </c>
      <c r="E13" s="3">
        <v>3.3898032713546642</v>
      </c>
      <c r="F13" s="3">
        <v>3.3898032713546642</v>
      </c>
      <c r="G13" s="3">
        <v>3.3899961989872658</v>
      </c>
      <c r="H13" s="3">
        <v>3.3898032713546642</v>
      </c>
      <c r="I13" s="3">
        <v>3.8450673346025281</v>
      </c>
      <c r="J13" s="3">
        <v>3.3898032713546642</v>
      </c>
      <c r="K13" s="3">
        <v>3.8450804722447951</v>
      </c>
    </row>
    <row r="14" spans="1:11" x14ac:dyDescent="0.25">
      <c r="A14" s="4">
        <v>0.12</v>
      </c>
      <c r="B14" s="3">
        <v>3.7228383026718821</v>
      </c>
      <c r="C14" s="3">
        <v>3.9067235492727042</v>
      </c>
      <c r="D14" s="3">
        <v>3.7228383026718821</v>
      </c>
      <c r="E14" s="3">
        <v>3.7228383026718821</v>
      </c>
      <c r="F14" s="3">
        <v>3.7228383026718821</v>
      </c>
      <c r="G14" s="3">
        <v>3.7231502528376539</v>
      </c>
      <c r="H14" s="3">
        <v>3.7228383026718821</v>
      </c>
      <c r="I14" s="3">
        <v>4.2454793890663627</v>
      </c>
      <c r="J14" s="3">
        <v>3.7228383026718821</v>
      </c>
      <c r="K14" s="3">
        <v>4.2457537681675186</v>
      </c>
    </row>
    <row r="15" spans="1:11" x14ac:dyDescent="0.25">
      <c r="A15" s="4">
        <v>0.13</v>
      </c>
      <c r="B15" s="3">
        <v>4.0627763070308394</v>
      </c>
      <c r="C15" s="3">
        <v>4.289304411291389</v>
      </c>
      <c r="D15" s="3">
        <v>4.0627763070308403</v>
      </c>
      <c r="E15" s="3">
        <v>4.0627763070308403</v>
      </c>
      <c r="F15" s="3">
        <v>4.0627774889950681</v>
      </c>
      <c r="G15" s="3">
        <v>4.0632359829182736</v>
      </c>
      <c r="H15" s="3">
        <v>4.0627763070308403</v>
      </c>
      <c r="I15" s="3">
        <v>4.6552875574604133</v>
      </c>
      <c r="J15" s="3">
        <v>4.0627763070308403</v>
      </c>
      <c r="K15" s="3">
        <v>4.6560876505220659</v>
      </c>
    </row>
    <row r="16" spans="1:11" x14ac:dyDescent="0.25">
      <c r="A16" s="4">
        <v>0.14000000000000001</v>
      </c>
      <c r="B16" s="3">
        <v>4.409519334887908</v>
      </c>
      <c r="C16" s="3">
        <v>4.6882433136695809</v>
      </c>
      <c r="D16" s="3">
        <v>4.409519334887908</v>
      </c>
      <c r="E16" s="3">
        <v>4.409519334887908</v>
      </c>
      <c r="F16" s="3">
        <v>4.4095348065036903</v>
      </c>
      <c r="G16" s="3">
        <v>4.4101779974600106</v>
      </c>
      <c r="H16" s="3">
        <v>4.409519334887908</v>
      </c>
      <c r="I16" s="3">
        <v>5.0732990334221908</v>
      </c>
      <c r="J16" s="3">
        <v>4.409519334887908</v>
      </c>
      <c r="K16" s="3">
        <v>5.0748313666993141</v>
      </c>
    </row>
    <row r="17" spans="1:11" x14ac:dyDescent="0.25">
      <c r="A17" s="4">
        <v>0.15</v>
      </c>
      <c r="B17" s="3">
        <v>4.7631556309666658</v>
      </c>
      <c r="C17" s="3">
        <v>5.1053219364735893</v>
      </c>
      <c r="D17" s="3">
        <v>4.7631556309666658</v>
      </c>
      <c r="E17" s="3">
        <v>4.7631556309666658</v>
      </c>
      <c r="F17" s="3">
        <v>4.7632065311552214</v>
      </c>
      <c r="G17" s="3">
        <v>4.7640726039384544</v>
      </c>
      <c r="H17" s="3">
        <v>4.7631556309666658</v>
      </c>
      <c r="I17" s="3">
        <v>5.4995136351700822</v>
      </c>
      <c r="J17" s="3">
        <v>4.7631556309666658</v>
      </c>
      <c r="K17" s="3">
        <v>5.501996321308698</v>
      </c>
    </row>
    <row r="18" spans="1:11" x14ac:dyDescent="0.25">
      <c r="A18" s="4">
        <v>0.16</v>
      </c>
      <c r="B18" s="3">
        <v>5.1230413744171068</v>
      </c>
      <c r="C18" s="3">
        <v>5.5430293257378978</v>
      </c>
      <c r="D18" s="3">
        <v>5.1230413744171068</v>
      </c>
      <c r="E18" s="3">
        <v>5.1230413744171068</v>
      </c>
      <c r="F18" s="3">
        <v>5.1231514378901712</v>
      </c>
      <c r="G18" s="3">
        <v>5.1242937213572066</v>
      </c>
      <c r="H18" s="3">
        <v>5.1230413744171068</v>
      </c>
      <c r="I18" s="3">
        <v>5.9352155748615409</v>
      </c>
      <c r="J18" s="3">
        <v>5.1230413744171068</v>
      </c>
      <c r="K18" s="3">
        <v>5.9388522361243421</v>
      </c>
    </row>
    <row r="19" spans="1:11" x14ac:dyDescent="0.25">
      <c r="A19" s="4">
        <v>0.17</v>
      </c>
      <c r="B19" s="3">
        <v>5.4888931219358676</v>
      </c>
      <c r="C19" s="3">
        <v>6.0007349616726691</v>
      </c>
      <c r="D19" s="3">
        <v>5.4888931219358676</v>
      </c>
      <c r="E19" s="3">
        <v>5.4888931219358676</v>
      </c>
      <c r="F19" s="3">
        <v>5.4890808535112408</v>
      </c>
      <c r="G19" s="3">
        <v>5.4905673090630414</v>
      </c>
      <c r="H19" s="3">
        <v>5.4888931219358676</v>
      </c>
      <c r="I19" s="3">
        <v>6.3837708806489184</v>
      </c>
      <c r="J19" s="3">
        <v>5.4888931219358676</v>
      </c>
      <c r="K19" s="3">
        <v>6.3888912582276127</v>
      </c>
    </row>
    <row r="20" spans="1:11" x14ac:dyDescent="0.25">
      <c r="A20" s="4">
        <v>0.18</v>
      </c>
      <c r="B20" s="3">
        <v>5.8600853239082138</v>
      </c>
      <c r="C20" s="3">
        <v>6.4762049447948673</v>
      </c>
      <c r="D20" s="3">
        <v>5.8600853239082138</v>
      </c>
      <c r="E20" s="3">
        <v>5.8600853239082138</v>
      </c>
      <c r="F20" s="3">
        <v>5.8603708701803221</v>
      </c>
      <c r="G20" s="3">
        <v>5.8623150779062119</v>
      </c>
      <c r="H20" s="3">
        <v>5.8600853239082138</v>
      </c>
      <c r="I20" s="3">
        <v>6.8496748852880174</v>
      </c>
      <c r="J20" s="3">
        <v>5.8600853239082138</v>
      </c>
      <c r="K20" s="3">
        <v>6.8568905556175901</v>
      </c>
    </row>
    <row r="21" spans="1:11" x14ac:dyDescent="0.25">
      <c r="A21" s="4">
        <v>0.19</v>
      </c>
      <c r="B21" s="3">
        <v>6.2399873483358856</v>
      </c>
      <c r="C21" s="3">
        <v>6.9689132962462184</v>
      </c>
      <c r="D21" s="3">
        <v>6.2399873483358856</v>
      </c>
      <c r="E21" s="3">
        <v>6.2399873483358856</v>
      </c>
      <c r="F21" s="3">
        <v>6.2404055621105439</v>
      </c>
      <c r="G21" s="3">
        <v>6.2430074052762823</v>
      </c>
      <c r="H21" s="3">
        <v>6.2399873483358856</v>
      </c>
      <c r="I21" s="3">
        <v>7.336642127991917</v>
      </c>
      <c r="J21" s="3">
        <v>6.2399873483358856</v>
      </c>
      <c r="K21" s="3">
        <v>7.3468258579010186</v>
      </c>
    </row>
    <row r="22" spans="1:11" x14ac:dyDescent="0.25">
      <c r="A22" s="4">
        <v>0.2</v>
      </c>
      <c r="B22" s="3">
        <v>6.6307274962145151</v>
      </c>
      <c r="C22" s="3">
        <v>7.4807209963681203</v>
      </c>
      <c r="D22" s="3">
        <v>6.6307274962145151</v>
      </c>
      <c r="E22" s="3">
        <v>6.6307274962145151</v>
      </c>
      <c r="F22" s="3">
        <v>6.6313141818563546</v>
      </c>
      <c r="G22" s="3">
        <v>6.6347632906403424</v>
      </c>
      <c r="H22" s="3">
        <v>6.6307274962145151</v>
      </c>
      <c r="I22" s="3">
        <v>7.8477474425209746</v>
      </c>
      <c r="J22" s="3">
        <v>6.6307274962145151</v>
      </c>
      <c r="K22" s="3">
        <v>7.862470946062178</v>
      </c>
    </row>
    <row r="23" spans="1:11" x14ac:dyDescent="0.25">
      <c r="A23" s="4">
        <v>0.21</v>
      </c>
      <c r="B23" s="3">
        <v>7.0323649705033553</v>
      </c>
      <c r="C23" s="3">
        <v>8.0126769918474814</v>
      </c>
      <c r="D23" s="3">
        <v>7.0323649705033553</v>
      </c>
      <c r="E23" s="3">
        <v>7.0323656497846061</v>
      </c>
      <c r="F23" s="3">
        <v>7.0331465775499158</v>
      </c>
      <c r="G23" s="3">
        <v>7.0376144403798273</v>
      </c>
      <c r="H23" s="3">
        <v>7.0323649705033553</v>
      </c>
      <c r="I23" s="3">
        <v>8.3823844661683165</v>
      </c>
      <c r="J23" s="3">
        <v>7.0323656497846061</v>
      </c>
      <c r="K23" s="3">
        <v>8.403263590026576</v>
      </c>
    </row>
    <row r="24" spans="1:11" x14ac:dyDescent="0.25">
      <c r="A24" s="4">
        <v>0.22</v>
      </c>
      <c r="B24" s="3">
        <v>7.4458934515826236</v>
      </c>
      <c r="C24" s="3">
        <v>8.5626517924147869</v>
      </c>
      <c r="D24" s="3">
        <v>7.4458934515826236</v>
      </c>
      <c r="E24" s="3">
        <v>7.4459069740441262</v>
      </c>
      <c r="F24" s="3">
        <v>7.4469385408912023</v>
      </c>
      <c r="G24" s="3">
        <v>7.4527703607142666</v>
      </c>
      <c r="H24" s="3">
        <v>7.4458934515826236</v>
      </c>
      <c r="I24" s="3">
        <v>8.9381803654194663</v>
      </c>
      <c r="J24" s="3">
        <v>7.4459069740441262</v>
      </c>
      <c r="K24" s="3">
        <v>8.9673714365444042</v>
      </c>
    </row>
    <row r="25" spans="1:11" x14ac:dyDescent="0.25">
      <c r="A25" s="4">
        <v>0.23</v>
      </c>
      <c r="B25" s="3">
        <v>7.873594933657869</v>
      </c>
      <c r="C25" s="3">
        <v>9.1287840557793931</v>
      </c>
      <c r="D25" s="3">
        <v>7.873594933657869</v>
      </c>
      <c r="E25" s="3">
        <v>7.8736459913173533</v>
      </c>
      <c r="F25" s="3">
        <v>7.8749878503869519</v>
      </c>
      <c r="G25" s="3">
        <v>7.8825391984715258</v>
      </c>
      <c r="H25" s="3">
        <v>7.873594933657869</v>
      </c>
      <c r="I25" s="3">
        <v>9.516845271674601</v>
      </c>
      <c r="J25" s="3">
        <v>7.8736459913173533</v>
      </c>
      <c r="K25" s="3">
        <v>9.5584340262531189</v>
      </c>
    </row>
    <row r="26" spans="1:11" x14ac:dyDescent="0.25">
      <c r="A26" s="4">
        <v>0.24</v>
      </c>
      <c r="B26" s="3">
        <v>8.3145439886058519</v>
      </c>
      <c r="C26" s="3">
        <v>9.7111497513154657</v>
      </c>
      <c r="D26" s="3">
        <v>8.3145439886058519</v>
      </c>
      <c r="E26" s="3">
        <v>8.3146551400998607</v>
      </c>
      <c r="F26" s="3">
        <v>8.3163875807320373</v>
      </c>
      <c r="G26" s="3">
        <v>8.3259945027821161</v>
      </c>
      <c r="H26" s="3">
        <v>8.3145439886058519</v>
      </c>
      <c r="I26" s="3">
        <v>10.12265431936388</v>
      </c>
      <c r="J26" s="3">
        <v>8.3146551400998607</v>
      </c>
      <c r="K26" s="3">
        <v>10.180615600665959</v>
      </c>
    </row>
    <row r="27" spans="1:11" x14ac:dyDescent="0.25">
      <c r="A27" s="4">
        <v>0.25</v>
      </c>
      <c r="B27" s="3">
        <v>8.7690279232885313</v>
      </c>
      <c r="C27" s="3">
        <v>10.30899257433185</v>
      </c>
      <c r="D27" s="3">
        <v>8.7690279232885313</v>
      </c>
      <c r="E27" s="3">
        <v>8.7692290405166275</v>
      </c>
      <c r="F27" s="3">
        <v>8.771465178452404</v>
      </c>
      <c r="G27" s="3">
        <v>8.783624685073649</v>
      </c>
      <c r="H27" s="3">
        <v>8.7690279232885313</v>
      </c>
      <c r="I27" s="3">
        <v>10.75246755797871</v>
      </c>
      <c r="J27" s="3">
        <v>8.7692290405166275</v>
      </c>
      <c r="K27" s="3">
        <v>10.829890746865731</v>
      </c>
    </row>
    <row r="28" spans="1:11" x14ac:dyDescent="0.25">
      <c r="A28" s="4">
        <v>0.26</v>
      </c>
      <c r="B28" s="3">
        <v>9.236125697160908</v>
      </c>
      <c r="C28" s="3">
        <v>10.92283713504459</v>
      </c>
      <c r="D28" s="3">
        <v>9.236125697160908</v>
      </c>
      <c r="E28" s="3">
        <v>9.2364495027682718</v>
      </c>
      <c r="F28" s="3">
        <v>9.2392926768373904</v>
      </c>
      <c r="G28" s="3">
        <v>9.2544334379228665</v>
      </c>
      <c r="H28" s="3">
        <v>9.236125697160908</v>
      </c>
      <c r="I28" s="3">
        <v>11.4036718215512</v>
      </c>
      <c r="J28" s="3">
        <v>9.2364495027682718</v>
      </c>
      <c r="K28" s="3">
        <v>11.503444172584789</v>
      </c>
    </row>
    <row r="29" spans="1:11" x14ac:dyDescent="0.25">
      <c r="A29" s="4">
        <v>0.27</v>
      </c>
      <c r="B29" s="3">
        <v>9.7143074171913302</v>
      </c>
      <c r="C29" s="3">
        <v>11.553384370705929</v>
      </c>
      <c r="D29" s="3">
        <v>9.7143074171913302</v>
      </c>
      <c r="E29" s="3">
        <v>9.7147838445100057</v>
      </c>
      <c r="F29" s="3">
        <v>9.7183580999115744</v>
      </c>
      <c r="G29" s="3">
        <v>9.7369910593577398</v>
      </c>
      <c r="H29" s="3">
        <v>9.7143074171913302</v>
      </c>
      <c r="I29" s="3">
        <v>12.07363898265549</v>
      </c>
      <c r="J29" s="3">
        <v>9.7147838445100057</v>
      </c>
      <c r="K29" s="3">
        <v>12.198091299973241</v>
      </c>
    </row>
    <row r="30" spans="1:11" x14ac:dyDescent="0.25">
      <c r="A30" s="4">
        <v>0.28000000000000003</v>
      </c>
      <c r="B30" s="3">
        <v>10.20404940205346</v>
      </c>
      <c r="C30" s="3">
        <v>12.19987725396865</v>
      </c>
      <c r="D30" s="3">
        <v>10.20404940205346</v>
      </c>
      <c r="E30" s="3">
        <v>10.20471381694195</v>
      </c>
      <c r="F30" s="3">
        <v>10.20921651401172</v>
      </c>
      <c r="G30" s="3">
        <v>10.232039160883989</v>
      </c>
      <c r="H30" s="3">
        <v>10.20404940205346</v>
      </c>
      <c r="I30" s="3">
        <v>12.760377613222991</v>
      </c>
      <c r="J30" s="3">
        <v>10.20471381694195</v>
      </c>
      <c r="K30" s="3">
        <v>12.913060006688299</v>
      </c>
    </row>
    <row r="31" spans="1:11" x14ac:dyDescent="0.25">
      <c r="A31" s="4">
        <v>0.28999999999999998</v>
      </c>
      <c r="B31" s="3">
        <v>10.705986170979781</v>
      </c>
      <c r="C31" s="3">
        <v>12.86306351204027</v>
      </c>
      <c r="D31" s="3">
        <v>10.705986170979781</v>
      </c>
      <c r="E31" s="3">
        <v>10.706874796119489</v>
      </c>
      <c r="F31" s="3">
        <v>10.71253306340969</v>
      </c>
      <c r="G31" s="3">
        <v>10.740346926521619</v>
      </c>
      <c r="H31" s="3">
        <v>10.705986170979781</v>
      </c>
      <c r="I31" s="3">
        <v>13.464180546460851</v>
      </c>
      <c r="J31" s="3">
        <v>10.706874796119489</v>
      </c>
      <c r="K31" s="3">
        <v>13.64926519899689</v>
      </c>
    </row>
    <row r="32" spans="1:11" x14ac:dyDescent="0.25">
      <c r="A32" s="4">
        <v>0.3</v>
      </c>
      <c r="B32" s="3">
        <v>11.22108149455131</v>
      </c>
      <c r="C32" s="3">
        <v>13.54512073225118</v>
      </c>
      <c r="D32" s="3">
        <v>11.22108149455131</v>
      </c>
      <c r="E32" s="3">
        <v>11.222238636282411</v>
      </c>
      <c r="F32" s="3">
        <v>11.22927667016196</v>
      </c>
      <c r="G32" s="3">
        <v>11.262950791769301</v>
      </c>
      <c r="H32" s="3">
        <v>11.22108149455131</v>
      </c>
      <c r="I32" s="3">
        <v>14.18503450714527</v>
      </c>
      <c r="J32" s="3">
        <v>11.222238636282411</v>
      </c>
      <c r="K32" s="3">
        <v>14.40664097455395</v>
      </c>
    </row>
    <row r="33" spans="1:11" x14ac:dyDescent="0.25">
      <c r="A33" s="4">
        <v>0.31</v>
      </c>
      <c r="B33" s="3">
        <v>11.749833001771</v>
      </c>
      <c r="C33" s="3">
        <v>14.245984916024369</v>
      </c>
      <c r="D33" s="3">
        <v>11.749833422084039</v>
      </c>
      <c r="E33" s="3">
        <v>11.75129577379894</v>
      </c>
      <c r="F33" s="3">
        <v>11.75992834554015</v>
      </c>
      <c r="G33" s="3">
        <v>11.80034475288827</v>
      </c>
      <c r="H33" s="3">
        <v>11.749833001771</v>
      </c>
      <c r="I33" s="3">
        <v>14.92369968014169</v>
      </c>
      <c r="J33" s="3">
        <v>11.75129577379894</v>
      </c>
      <c r="K33" s="3">
        <v>15.18654432939949</v>
      </c>
    </row>
    <row r="34" spans="1:11" x14ac:dyDescent="0.25">
      <c r="A34" s="4">
        <v>0.32</v>
      </c>
      <c r="B34" s="3">
        <v>12.291175895691451</v>
      </c>
      <c r="C34" s="3">
        <v>14.96565143044652</v>
      </c>
      <c r="D34" s="3">
        <v>12.29118581325104</v>
      </c>
      <c r="E34" s="3">
        <v>12.29296957508307</v>
      </c>
      <c r="F34" s="3">
        <v>12.30339349602448</v>
      </c>
      <c r="G34" s="3">
        <v>12.35129549578849</v>
      </c>
      <c r="H34" s="3">
        <v>12.291175895691451</v>
      </c>
      <c r="I34" s="3">
        <v>15.680416587980471</v>
      </c>
      <c r="J34" s="3">
        <v>12.29296957508307</v>
      </c>
      <c r="K34" s="3">
        <v>15.98742359109429</v>
      </c>
    </row>
    <row r="35" spans="1:11" x14ac:dyDescent="0.25">
      <c r="A35" s="4">
        <v>0.33</v>
      </c>
      <c r="B35" s="3">
        <v>12.84397768862109</v>
      </c>
      <c r="C35" s="3">
        <v>15.70393376263868</v>
      </c>
      <c r="D35" s="3">
        <v>12.844016343686461</v>
      </c>
      <c r="E35" s="3">
        <v>12.846136934784161</v>
      </c>
      <c r="F35" s="3">
        <v>12.85859515163709</v>
      </c>
      <c r="G35" s="3">
        <v>12.91479728966414</v>
      </c>
      <c r="H35" s="3">
        <v>12.84397768862109</v>
      </c>
      <c r="I35" s="3">
        <v>16.45331672005646</v>
      </c>
      <c r="J35" s="3">
        <v>12.846136934784161</v>
      </c>
      <c r="K35" s="3">
        <v>16.810024792156831</v>
      </c>
    </row>
    <row r="36" spans="1:11" x14ac:dyDescent="0.25">
      <c r="A36" s="4">
        <v>0.34</v>
      </c>
      <c r="B36" s="3">
        <v>13.40752306556273</v>
      </c>
      <c r="C36" s="3">
        <v>16.46186996610836</v>
      </c>
      <c r="D36" s="3">
        <v>13.407614427647781</v>
      </c>
      <c r="E36" s="3">
        <v>13.41010519747933</v>
      </c>
      <c r="F36" s="3">
        <v>13.424829977322981</v>
      </c>
      <c r="G36" s="3">
        <v>13.490127689472089</v>
      </c>
      <c r="H36" s="3">
        <v>13.40752306556273</v>
      </c>
      <c r="I36" s="3">
        <v>17.24373799144653</v>
      </c>
      <c r="J36" s="3">
        <v>13.41010519747933</v>
      </c>
      <c r="K36" s="3">
        <v>17.654515061509329</v>
      </c>
    </row>
    <row r="37" spans="1:11" x14ac:dyDescent="0.25">
      <c r="A37" s="4">
        <v>0.35</v>
      </c>
      <c r="B37" s="3">
        <v>13.981619012736919</v>
      </c>
      <c r="C37" s="3">
        <v>17.243378027138078</v>
      </c>
      <c r="D37" s="3">
        <v>13.981787563572739</v>
      </c>
      <c r="E37" s="3">
        <v>13.984734871525591</v>
      </c>
      <c r="F37" s="3">
        <v>14.00207679042828</v>
      </c>
      <c r="G37" s="3">
        <v>14.07773243159205</v>
      </c>
      <c r="H37" s="3">
        <v>13.981619012736919</v>
      </c>
      <c r="I37" s="3">
        <v>18.052723245672919</v>
      </c>
      <c r="J37" s="3">
        <v>13.984734871525591</v>
      </c>
      <c r="K37" s="3">
        <v>18.520432507600951</v>
      </c>
    </row>
    <row r="38" spans="1:11" x14ac:dyDescent="0.25">
      <c r="A38" s="4">
        <v>0.36</v>
      </c>
      <c r="B38" s="3">
        <v>14.56672462697215</v>
      </c>
      <c r="C38" s="3">
        <v>18.049956795743139</v>
      </c>
      <c r="D38" s="3">
        <v>14.566990901363811</v>
      </c>
      <c r="E38" s="3">
        <v>14.570462444994281</v>
      </c>
      <c r="F38" s="3">
        <v>14.590676577298201</v>
      </c>
      <c r="G38" s="3">
        <v>14.677594439847841</v>
      </c>
      <c r="H38" s="3">
        <v>14.56672462697215</v>
      </c>
      <c r="I38" s="3">
        <v>18.880531620965272</v>
      </c>
      <c r="J38" s="3">
        <v>14.570462444994281</v>
      </c>
      <c r="K38" s="3">
        <v>19.407920359848539</v>
      </c>
    </row>
    <row r="39" spans="1:11" x14ac:dyDescent="0.25">
      <c r="A39" s="4">
        <v>0.37</v>
      </c>
      <c r="B39" s="3">
        <v>15.162056969813641</v>
      </c>
      <c r="C39" s="3">
        <v>18.879494134101119</v>
      </c>
      <c r="D39" s="3">
        <v>15.16243990928278</v>
      </c>
      <c r="E39" s="3">
        <v>15.1665152615943</v>
      </c>
      <c r="F39" s="3">
        <v>15.18991157434858</v>
      </c>
      <c r="G39" s="3">
        <v>15.28923456957595</v>
      </c>
      <c r="H39" s="3">
        <v>15.162056969813641</v>
      </c>
      <c r="I39" s="3">
        <v>19.725617469694669</v>
      </c>
      <c r="J39" s="3">
        <v>15.1665152615943</v>
      </c>
      <c r="K39" s="3">
        <v>20.322538845907179</v>
      </c>
    </row>
    <row r="40" spans="1:11" x14ac:dyDescent="0.25">
      <c r="A40" s="4">
        <v>0.38</v>
      </c>
      <c r="B40" s="3">
        <v>15.767532583526879</v>
      </c>
      <c r="C40" s="3">
        <v>19.729880574946129</v>
      </c>
      <c r="D40" s="3">
        <v>15.76805239010786</v>
      </c>
      <c r="E40" s="3">
        <v>15.77283569763846</v>
      </c>
      <c r="F40" s="3">
        <v>15.799816046872349</v>
      </c>
      <c r="G40" s="3">
        <v>15.913079273928361</v>
      </c>
      <c r="H40" s="3">
        <v>15.767532583526879</v>
      </c>
      <c r="I40" s="3">
        <v>20.589552396888092</v>
      </c>
      <c r="J40" s="3">
        <v>15.77283569763846</v>
      </c>
      <c r="K40" s="3">
        <v>21.26547990057945</v>
      </c>
    </row>
    <row r="41" spans="1:11" x14ac:dyDescent="0.25">
      <c r="A41" s="4">
        <v>0.39</v>
      </c>
      <c r="B41" s="3">
        <v>16.384255495619019</v>
      </c>
      <c r="C41" s="3">
        <v>20.600829591872841</v>
      </c>
      <c r="D41" s="3">
        <v>16.38493744807209</v>
      </c>
      <c r="E41" s="3">
        <v>16.390563374656981</v>
      </c>
      <c r="F41" s="3">
        <v>16.421684589214909</v>
      </c>
      <c r="G41" s="3">
        <v>16.550439327018609</v>
      </c>
      <c r="H41" s="3">
        <v>16.384255495619019</v>
      </c>
      <c r="I41" s="3">
        <v>21.474041474418971</v>
      </c>
      <c r="J41" s="3">
        <v>16.390563374656981</v>
      </c>
      <c r="K41" s="3">
        <v>22.23807096867575</v>
      </c>
    </row>
    <row r="42" spans="1:11" x14ac:dyDescent="0.25">
      <c r="A42" s="4">
        <v>0.4</v>
      </c>
      <c r="B42" s="3">
        <v>17.01207525248001</v>
      </c>
      <c r="C42" s="3">
        <v>21.503583293681881</v>
      </c>
      <c r="D42" s="3">
        <v>17.012946148643358</v>
      </c>
      <c r="E42" s="3">
        <v>17.01951224520727</v>
      </c>
      <c r="F42" s="3">
        <v>17.055180839710282</v>
      </c>
      <c r="G42" s="3">
        <v>17.200704123978909</v>
      </c>
      <c r="H42" s="3">
        <v>17.01207525248001</v>
      </c>
      <c r="I42" s="3">
        <v>22.378496002860508</v>
      </c>
      <c r="J42" s="3">
        <v>17.01951224520727</v>
      </c>
      <c r="K42" s="3">
        <v>23.240353753377232</v>
      </c>
    </row>
    <row r="43" spans="1:11" x14ac:dyDescent="0.25">
      <c r="A43" s="4">
        <v>0.41</v>
      </c>
      <c r="B43" s="3">
        <v>17.65069303806418</v>
      </c>
      <c r="C43" s="3">
        <v>22.446495211195671</v>
      </c>
      <c r="D43" s="3">
        <v>17.651778698942952</v>
      </c>
      <c r="E43" s="3">
        <v>17.659400131768251</v>
      </c>
      <c r="F43" s="3">
        <v>17.70007192531428</v>
      </c>
      <c r="G43" s="3">
        <v>17.86356074799734</v>
      </c>
      <c r="H43" s="3">
        <v>17.65069303806418</v>
      </c>
      <c r="I43" s="3">
        <v>23.302103718117952</v>
      </c>
      <c r="J43" s="3">
        <v>17.659400131768251</v>
      </c>
      <c r="K43" s="3">
        <v>24.270501774118671</v>
      </c>
    </row>
    <row r="44" spans="1:11" x14ac:dyDescent="0.25">
      <c r="A44" s="4">
        <v>0.42</v>
      </c>
      <c r="B44" s="3">
        <v>18.29974725825728</v>
      </c>
      <c r="C44" s="3">
        <v>23.434188054484562</v>
      </c>
      <c r="D44" s="3">
        <v>18.301069369500478</v>
      </c>
      <c r="E44" s="3">
        <v>18.309875776550111</v>
      </c>
      <c r="F44" s="3">
        <v>18.355996775899779</v>
      </c>
      <c r="G44" s="3">
        <v>18.539205028588398</v>
      </c>
      <c r="H44" s="3">
        <v>18.29974725825728</v>
      </c>
      <c r="I44" s="3">
        <v>24.243583069825309</v>
      </c>
      <c r="J44" s="3">
        <v>18.309875776550111</v>
      </c>
      <c r="K44" s="3">
        <v>25.327185388279592</v>
      </c>
    </row>
    <row r="45" spans="1:11" x14ac:dyDescent="0.25">
      <c r="A45" s="4">
        <v>0.43</v>
      </c>
      <c r="B45" s="3">
        <v>18.959838231018871</v>
      </c>
      <c r="C45" s="3">
        <v>24.471139584667849</v>
      </c>
      <c r="D45" s="3">
        <v>18.9614286568038</v>
      </c>
      <c r="E45" s="3">
        <v>18.971631016405471</v>
      </c>
      <c r="F45" s="3">
        <v>19.023923876910651</v>
      </c>
      <c r="G45" s="3">
        <v>19.2292676072462</v>
      </c>
      <c r="H45" s="3">
        <v>18.959838231018871</v>
      </c>
      <c r="I45" s="3">
        <v>25.20174053341422</v>
      </c>
      <c r="J45" s="3">
        <v>18.971631016405471</v>
      </c>
      <c r="K45" s="3">
        <v>26.412865831635131</v>
      </c>
    </row>
    <row r="46" spans="1:11" x14ac:dyDescent="0.25">
      <c r="A46" s="4">
        <v>0.44</v>
      </c>
      <c r="B46" s="3">
        <v>19.632252003395031</v>
      </c>
      <c r="C46" s="3">
        <v>25.562186410695279</v>
      </c>
      <c r="D46" s="3">
        <v>19.634152160104431</v>
      </c>
      <c r="E46" s="3">
        <v>19.64598400195112</v>
      </c>
      <c r="F46" s="3">
        <v>19.70527834027612</v>
      </c>
      <c r="G46" s="3">
        <v>19.93449555046114</v>
      </c>
      <c r="H46" s="3">
        <v>19.632252003395038</v>
      </c>
      <c r="I46" s="3">
        <v>26.175646235140359</v>
      </c>
      <c r="J46" s="3">
        <v>19.64598400195112</v>
      </c>
      <c r="K46" s="3">
        <v>27.55881418056758</v>
      </c>
    </row>
    <row r="47" spans="1:11" x14ac:dyDescent="0.25">
      <c r="A47" s="4">
        <v>0.45</v>
      </c>
      <c r="B47" s="3">
        <v>20.31734266464797</v>
      </c>
      <c r="C47" s="3">
        <v>26.70764339771846</v>
      </c>
      <c r="D47" s="3">
        <v>20.31958489634928</v>
      </c>
      <c r="E47" s="3">
        <v>20.33319902976546</v>
      </c>
      <c r="F47" s="3">
        <v>20.400104725247552</v>
      </c>
      <c r="G47" s="3">
        <v>20.654606873325129</v>
      </c>
      <c r="H47" s="3">
        <v>20.317858811386721</v>
      </c>
      <c r="I47" s="3">
        <v>27.167305138542648</v>
      </c>
      <c r="J47" s="3">
        <v>20.333553960768299</v>
      </c>
      <c r="K47" s="3">
        <v>28.77951563959963</v>
      </c>
    </row>
    <row r="48" spans="1:11" x14ac:dyDescent="0.25">
      <c r="A48" s="4">
        <v>0.46</v>
      </c>
      <c r="B48" s="3">
        <v>21.01496556493969</v>
      </c>
      <c r="C48" s="3">
        <v>27.912283488952902</v>
      </c>
      <c r="D48" s="3">
        <v>21.0175843343583</v>
      </c>
      <c r="E48" s="3">
        <v>21.03315697584112</v>
      </c>
      <c r="F48" s="3">
        <v>21.10835244228722</v>
      </c>
      <c r="G48" s="3">
        <v>21.3898976109645</v>
      </c>
      <c r="H48" s="3">
        <v>21.017501125807531</v>
      </c>
      <c r="I48" s="3">
        <v>28.178602377670892</v>
      </c>
      <c r="J48" s="3">
        <v>21.035274143074702</v>
      </c>
      <c r="K48" s="3">
        <v>30.085037667916058</v>
      </c>
    </row>
    <row r="49" spans="1:11" x14ac:dyDescent="0.25">
      <c r="A49" s="4">
        <v>0.47</v>
      </c>
      <c r="B49" s="3">
        <v>21.725085482518661</v>
      </c>
      <c r="C49" s="3">
        <v>29.18370603204168</v>
      </c>
      <c r="D49" s="3">
        <v>21.72811478047219</v>
      </c>
      <c r="E49" s="3">
        <v>21.745863525640949</v>
      </c>
      <c r="F49" s="3">
        <v>21.830213422661021</v>
      </c>
      <c r="G49" s="3">
        <v>22.140552702397908</v>
      </c>
      <c r="H49" s="3">
        <v>21.731015330622011</v>
      </c>
      <c r="I49" s="3">
        <v>29.224020790262749</v>
      </c>
      <c r="J49" s="3">
        <v>21.75108594968799</v>
      </c>
      <c r="K49" s="3">
        <v>31.48330193534774</v>
      </c>
    </row>
    <row r="50" spans="1:11" x14ac:dyDescent="0.25">
      <c r="A50" s="4">
        <v>0.48</v>
      </c>
      <c r="B50" s="3">
        <v>22.447670802950519</v>
      </c>
      <c r="C50" s="3">
        <v>30.523625323987531</v>
      </c>
      <c r="D50" s="3">
        <v>22.451141203351849</v>
      </c>
      <c r="E50" s="3">
        <v>22.471280058618628</v>
      </c>
      <c r="F50" s="3">
        <v>22.565449029823029</v>
      </c>
      <c r="G50" s="3">
        <v>22.906219971300452</v>
      </c>
      <c r="H50" s="3">
        <v>22.4584256244637</v>
      </c>
      <c r="I50" s="3">
        <v>30.307635156616019</v>
      </c>
      <c r="J50" s="3">
        <v>22.481018248302171</v>
      </c>
      <c r="K50" s="3">
        <v>32.976151780403541</v>
      </c>
    </row>
    <row r="51" spans="1:11" x14ac:dyDescent="0.25">
      <c r="A51" s="4">
        <v>0.49</v>
      </c>
      <c r="B51" s="3">
        <v>23.182582502707259</v>
      </c>
      <c r="C51" s="3">
        <v>31.93726257445266</v>
      </c>
      <c r="D51" s="3">
        <v>23.186535036905742</v>
      </c>
      <c r="E51" s="3">
        <v>23.209355494188969</v>
      </c>
      <c r="F51" s="3">
        <v>23.314204327465809</v>
      </c>
      <c r="G51" s="3">
        <v>23.687397498560038</v>
      </c>
      <c r="H51" s="3">
        <v>23.199696690619952</v>
      </c>
      <c r="I51" s="3">
        <v>31.426361099617409</v>
      </c>
      <c r="J51" s="3">
        <v>23.225153991720269</v>
      </c>
      <c r="K51" s="3">
        <v>34.566000542680356</v>
      </c>
    </row>
    <row r="52" spans="1:11" x14ac:dyDescent="0.25">
      <c r="A52" s="4">
        <v>0.5</v>
      </c>
      <c r="B52" s="3">
        <v>23.930205528936789</v>
      </c>
      <c r="C52" s="3">
        <v>33.426440881389631</v>
      </c>
      <c r="D52" s="3">
        <v>23.93468590549837</v>
      </c>
      <c r="E52" s="3">
        <v>23.960488838531528</v>
      </c>
      <c r="F52" s="3">
        <v>24.077032738768239</v>
      </c>
      <c r="G52" s="3">
        <v>24.486424339075061</v>
      </c>
      <c r="H52" s="3">
        <v>23.95487429155952</v>
      </c>
      <c r="I52" s="3">
        <v>32.578574193472008</v>
      </c>
      <c r="J52" s="3">
        <v>23.98371404981787</v>
      </c>
      <c r="K52" s="3">
        <v>36.26799579688371</v>
      </c>
    </row>
    <row r="53" spans="1:11" x14ac:dyDescent="0.25">
      <c r="A53" s="4">
        <v>0.51</v>
      </c>
      <c r="B53" s="3">
        <v>24.69134156930803</v>
      </c>
      <c r="C53" s="3">
        <v>34.990976146965117</v>
      </c>
      <c r="D53" s="3">
        <v>24.69643833557755</v>
      </c>
      <c r="E53" s="3">
        <v>24.72565639209424</v>
      </c>
      <c r="F53" s="3">
        <v>24.855637138268321</v>
      </c>
      <c r="G53" s="3">
        <v>25.307132177903789</v>
      </c>
      <c r="H53" s="3">
        <v>24.72507407818156</v>
      </c>
      <c r="I53" s="3">
        <v>33.766820433865547</v>
      </c>
      <c r="J53" s="3">
        <v>24.758303101693059</v>
      </c>
      <c r="K53" s="3">
        <v>38.106776418996432</v>
      </c>
    </row>
    <row r="54" spans="1:11" x14ac:dyDescent="0.25">
      <c r="A54" s="4">
        <v>0.52</v>
      </c>
      <c r="B54" s="3">
        <v>25.468212229301649</v>
      </c>
      <c r="C54" s="3">
        <v>36.641497173083778</v>
      </c>
      <c r="D54" s="3">
        <v>25.474115393120691</v>
      </c>
      <c r="E54" s="3">
        <v>25.507466817111911</v>
      </c>
      <c r="F54" s="3">
        <v>25.653067796642851</v>
      </c>
      <c r="G54" s="3">
        <v>26.149088861227149</v>
      </c>
      <c r="H54" s="3">
        <v>25.51358909930449</v>
      </c>
      <c r="I54" s="3">
        <v>34.991220413273361</v>
      </c>
      <c r="J54" s="3">
        <v>25.552513851426021</v>
      </c>
      <c r="K54" s="3">
        <v>40.09343541062281</v>
      </c>
    </row>
    <row r="55" spans="1:11" x14ac:dyDescent="0.25">
      <c r="A55" s="4">
        <v>0.53</v>
      </c>
      <c r="B55" s="3">
        <v>26.26221765936317</v>
      </c>
      <c r="C55" s="3">
        <v>38.450231694371048</v>
      </c>
      <c r="D55" s="3">
        <v>26.269033641539561</v>
      </c>
      <c r="E55" s="3">
        <v>26.306789501573391</v>
      </c>
      <c r="F55" s="3">
        <v>26.468953480467022</v>
      </c>
      <c r="G55" s="3">
        <v>27.011453914031559</v>
      </c>
      <c r="H55" s="3">
        <v>26.320552026843249</v>
      </c>
      <c r="I55" s="3">
        <v>36.256552628891349</v>
      </c>
      <c r="J55" s="3">
        <v>26.366148773810099</v>
      </c>
      <c r="K55" s="3">
        <v>42.23225324520606</v>
      </c>
    </row>
    <row r="56" spans="1:11" x14ac:dyDescent="0.25">
      <c r="A56" s="4">
        <v>0.54</v>
      </c>
      <c r="B56" s="3">
        <v>27.07245255145089</v>
      </c>
      <c r="C56" s="3">
        <v>40.511807649739623</v>
      </c>
      <c r="D56" s="3">
        <v>27.08029344077973</v>
      </c>
      <c r="E56" s="3">
        <v>27.122751888464379</v>
      </c>
      <c r="F56" s="3">
        <v>27.30250178248027</v>
      </c>
      <c r="G56" s="3">
        <v>27.893269433525809</v>
      </c>
      <c r="H56" s="3">
        <v>27.14468482274534</v>
      </c>
      <c r="I56" s="3">
        <v>37.569556276110511</v>
      </c>
      <c r="J56" s="3">
        <v>27.19792526133817</v>
      </c>
      <c r="K56" s="3">
        <v>44.542876914328197</v>
      </c>
    </row>
    <row r="57" spans="1:11" x14ac:dyDescent="0.25">
      <c r="A57" s="4">
        <v>0.55000000000000004</v>
      </c>
      <c r="B57" s="3">
        <v>27.897949654870288</v>
      </c>
      <c r="C57" s="3">
        <v>42.890296492128513</v>
      </c>
      <c r="D57" s="3">
        <v>27.90693270781242</v>
      </c>
      <c r="E57" s="3">
        <v>27.954351642253972</v>
      </c>
      <c r="F57" s="3">
        <v>28.152588485689201</v>
      </c>
      <c r="G57" s="3">
        <v>28.793427972738499</v>
      </c>
      <c r="H57" s="3">
        <v>27.984888982068099</v>
      </c>
      <c r="I57" s="3">
        <v>38.9334132812428</v>
      </c>
      <c r="J57" s="3">
        <v>28.046652203738741</v>
      </c>
      <c r="K57" s="3">
        <v>47.108864488626821</v>
      </c>
    </row>
    <row r="58" spans="1:11" x14ac:dyDescent="0.25">
      <c r="A58" s="4">
        <v>0.56000000000000005</v>
      </c>
      <c r="B58" s="3">
        <v>28.7378067507724</v>
      </c>
      <c r="C58" s="3">
        <v>45.592778536564488</v>
      </c>
      <c r="D58" s="3">
        <v>28.748040133515062</v>
      </c>
      <c r="E58" s="3">
        <v>28.800690737901441</v>
      </c>
      <c r="F58" s="3">
        <v>29.018272069054749</v>
      </c>
      <c r="G58" s="3">
        <v>29.711798009758429</v>
      </c>
      <c r="H58" s="3">
        <v>28.840091235400141</v>
      </c>
      <c r="I58" s="3">
        <v>40.346936673752452</v>
      </c>
      <c r="J58" s="3">
        <v>28.911195282747439</v>
      </c>
      <c r="K58" s="3">
        <v>50.022574104570587</v>
      </c>
    </row>
    <row r="59" spans="1:11" x14ac:dyDescent="0.25">
      <c r="A59" s="4">
        <v>0.56999999999999995</v>
      </c>
      <c r="B59" s="3">
        <v>29.591028728971668</v>
      </c>
      <c r="C59" s="3">
        <v>48.719714593319154</v>
      </c>
      <c r="D59" s="3">
        <v>29.602624590066888</v>
      </c>
      <c r="E59" s="3">
        <v>29.660906120875971</v>
      </c>
      <c r="F59" s="3">
        <v>29.899036655995321</v>
      </c>
      <c r="G59" s="3">
        <v>30.656615564910989</v>
      </c>
      <c r="H59" s="3">
        <v>29.709662479921139</v>
      </c>
      <c r="I59" s="3">
        <v>41.807843338558449</v>
      </c>
      <c r="J59" s="3">
        <v>29.791389348830339</v>
      </c>
      <c r="K59" s="3">
        <v>53.363799438316462</v>
      </c>
    </row>
    <row r="60" spans="1:11" x14ac:dyDescent="0.25">
      <c r="A60" s="4">
        <v>0.57999999999999996</v>
      </c>
      <c r="B60" s="3">
        <v>30.457660503632859</v>
      </c>
      <c r="C60" s="3">
        <v>52.664979352869437</v>
      </c>
      <c r="D60" s="3">
        <v>30.470772189314509</v>
      </c>
      <c r="E60" s="3">
        <v>30.53522199577872</v>
      </c>
      <c r="F60" s="3">
        <v>30.79748620634421</v>
      </c>
      <c r="G60" s="3">
        <v>31.633831668956489</v>
      </c>
      <c r="H60" s="3">
        <v>30.59508408075494</v>
      </c>
      <c r="I60" s="3">
        <v>43.313957263529012</v>
      </c>
      <c r="J60" s="3">
        <v>30.690643791704449</v>
      </c>
      <c r="K60" s="3">
        <v>57.265339509716839</v>
      </c>
    </row>
    <row r="61" spans="1:11" x14ac:dyDescent="0.25">
      <c r="A61" s="4">
        <v>0.59</v>
      </c>
      <c r="B61" s="3">
        <v>31.34148895797011</v>
      </c>
      <c r="C61" s="3">
        <v>58.203941008225762</v>
      </c>
      <c r="D61" s="3">
        <v>31.356653057981362</v>
      </c>
      <c r="E61" s="3">
        <v>31.42958115549159</v>
      </c>
      <c r="F61" s="3">
        <v>31.722581612267302</v>
      </c>
      <c r="G61" s="3">
        <v>32.651016034525782</v>
      </c>
      <c r="H61" s="3">
        <v>31.503610127039</v>
      </c>
      <c r="I61" s="3">
        <v>44.870613591701982</v>
      </c>
      <c r="J61" s="3">
        <v>31.618851139371841</v>
      </c>
      <c r="K61" s="3">
        <v>61.787690678690844</v>
      </c>
    </row>
    <row r="62" spans="1:11" x14ac:dyDescent="0.25">
      <c r="A62" s="4">
        <v>0.6</v>
      </c>
      <c r="B62" s="3">
        <v>32.249624449307163</v>
      </c>
      <c r="C62" s="3">
        <v>67.551463845056674</v>
      </c>
      <c r="D62" s="3">
        <v>32.267146441892699</v>
      </c>
      <c r="E62" s="3">
        <v>32.349559608564498</v>
      </c>
      <c r="F62" s="3">
        <v>32.67793809291021</v>
      </c>
      <c r="G62" s="3">
        <v>33.710602462983807</v>
      </c>
      <c r="H62" s="3">
        <v>32.449134031871559</v>
      </c>
      <c r="I62" s="3">
        <v>46.479622923475993</v>
      </c>
      <c r="J62" s="3">
        <v>32.593894417038122</v>
      </c>
      <c r="K62" s="3">
        <v>67.086321688501144</v>
      </c>
    </row>
    <row r="63" spans="1:11" x14ac:dyDescent="0.25">
      <c r="A63" s="4">
        <v>0.61</v>
      </c>
      <c r="B63" s="3">
        <v>33.184061094519471</v>
      </c>
      <c r="C63" s="3">
        <v>84.984097856717554</v>
      </c>
      <c r="D63" s="3">
        <v>33.20465785312642</v>
      </c>
      <c r="E63" s="3">
        <v>33.298890554402618</v>
      </c>
      <c r="F63" s="3">
        <v>33.667825293292822</v>
      </c>
      <c r="G63" s="3">
        <v>34.817357943024511</v>
      </c>
      <c r="H63" s="3">
        <v>33.441201764671717</v>
      </c>
      <c r="I63" s="3">
        <v>48.151570858524792</v>
      </c>
      <c r="J63" s="3">
        <v>33.619705266017519</v>
      </c>
      <c r="K63" s="3">
        <v>73.459614678717728</v>
      </c>
    </row>
    <row r="64" spans="1:11" x14ac:dyDescent="0.25">
      <c r="A64" s="4">
        <v>0.62</v>
      </c>
      <c r="B64" s="3">
        <v>34.148215404204883</v>
      </c>
      <c r="C64" s="3">
        <v>124.9198513759454</v>
      </c>
      <c r="D64" s="3">
        <v>34.172318147282901</v>
      </c>
      <c r="E64" s="3">
        <v>34.279548438793341</v>
      </c>
      <c r="F64" s="3">
        <v>34.69317164155116</v>
      </c>
      <c r="G64" s="3">
        <v>35.979165709521027</v>
      </c>
      <c r="H64" s="3">
        <v>34.481311534743718</v>
      </c>
      <c r="I64" s="3">
        <v>49.892318809667778</v>
      </c>
      <c r="J64" s="3">
        <v>34.700633511242771</v>
      </c>
      <c r="K64" s="3">
        <v>82.561190081128984</v>
      </c>
    </row>
    <row r="65" spans="1:11" x14ac:dyDescent="0.25">
      <c r="A65" s="4">
        <v>0.63</v>
      </c>
      <c r="B65" s="3">
        <v>35.142175201052737</v>
      </c>
      <c r="D65" s="3">
        <v>35.170356755290143</v>
      </c>
      <c r="E65" s="3">
        <v>35.29253478978503</v>
      </c>
      <c r="F65" s="3">
        <v>35.758305862231197</v>
      </c>
      <c r="G65" s="3">
        <v>37.197403256715717</v>
      </c>
      <c r="H65" s="3">
        <v>35.575861331932281</v>
      </c>
      <c r="I65" s="3">
        <v>51.710564089862537</v>
      </c>
      <c r="J65" s="3">
        <v>35.843446262512941</v>
      </c>
      <c r="K65" s="3">
        <v>99.646461455264443</v>
      </c>
    </row>
    <row r="66" spans="1:11" x14ac:dyDescent="0.25">
      <c r="A66" s="4">
        <v>0.64</v>
      </c>
      <c r="B66" s="3">
        <v>36.168611178278461</v>
      </c>
      <c r="D66" s="3">
        <v>36.201792475057289</v>
      </c>
      <c r="E66" s="3">
        <v>36.342011252831128</v>
      </c>
      <c r="F66" s="3">
        <v>36.866964742500002</v>
      </c>
      <c r="G66" s="3">
        <v>38.470314136305298</v>
      </c>
      <c r="H66" s="3">
        <v>36.732966138276844</v>
      </c>
      <c r="I66" s="3">
        <v>53.624981195693138</v>
      </c>
      <c r="J66" s="3">
        <v>37.055595509857064</v>
      </c>
    </row>
    <row r="67" spans="1:11" x14ac:dyDescent="0.25">
      <c r="A67" s="4">
        <v>0.65</v>
      </c>
      <c r="B67" s="3">
        <v>37.230403944002688</v>
      </c>
      <c r="D67" s="3">
        <v>37.269404685307627</v>
      </c>
      <c r="E67" s="3">
        <v>37.430108538539628</v>
      </c>
      <c r="F67" s="3">
        <v>38.017774876017832</v>
      </c>
      <c r="G67" s="3">
        <v>39.808252204036009</v>
      </c>
      <c r="H67" s="3">
        <v>37.957159063608003</v>
      </c>
      <c r="I67" s="3">
        <v>55.651863908314702</v>
      </c>
      <c r="J67" s="3">
        <v>38.345268130853192</v>
      </c>
    </row>
    <row r="68" spans="1:11" x14ac:dyDescent="0.25">
      <c r="A68" s="4">
        <v>0.66</v>
      </c>
      <c r="B68" s="3">
        <v>38.328243571482567</v>
      </c>
      <c r="D68" s="3">
        <v>38.373664475887708</v>
      </c>
      <c r="E68" s="3">
        <v>38.556460500279833</v>
      </c>
      <c r="F68" s="3">
        <v>39.209629395597247</v>
      </c>
      <c r="G68" s="3">
        <v>41.217207265404923</v>
      </c>
      <c r="H68" s="3">
        <v>39.248639864753059</v>
      </c>
      <c r="I68" s="3">
        <v>57.786352593772342</v>
      </c>
      <c r="J68" s="3">
        <v>39.712428989249332</v>
      </c>
    </row>
    <row r="69" spans="1:11" x14ac:dyDescent="0.25">
      <c r="A69" s="4">
        <v>0.67</v>
      </c>
      <c r="B69" s="3">
        <v>39.462185122515137</v>
      </c>
      <c r="D69" s="3">
        <v>39.514714608075117</v>
      </c>
      <c r="E69" s="3">
        <v>39.721342761013751</v>
      </c>
      <c r="F69" s="3">
        <v>40.447573372393443</v>
      </c>
      <c r="G69" s="3">
        <v>42.701319847617121</v>
      </c>
      <c r="H69" s="3">
        <v>40.606875008165431</v>
      </c>
      <c r="I69" s="3">
        <v>60.023214949809002</v>
      </c>
      <c r="J69" s="3">
        <v>41.166324581810379</v>
      </c>
    </row>
    <row r="70" spans="1:11" x14ac:dyDescent="0.25">
      <c r="A70" s="4">
        <v>0.68</v>
      </c>
      <c r="B70" s="3">
        <v>40.631903291318977</v>
      </c>
      <c r="D70" s="3">
        <v>40.692676550952598</v>
      </c>
      <c r="E70" s="3">
        <v>40.927385997844773</v>
      </c>
      <c r="F70" s="3">
        <v>41.738212564572827</v>
      </c>
      <c r="G70" s="3">
        <v>44.265579948048881</v>
      </c>
      <c r="H70" s="3">
        <v>42.039160110621971</v>
      </c>
      <c r="I70" s="3">
        <v>62.3596669263138</v>
      </c>
      <c r="J70" s="3">
        <v>42.71407170234454</v>
      </c>
    </row>
    <row r="71" spans="1:11" x14ac:dyDescent="0.25">
      <c r="A71" s="4">
        <v>0.69</v>
      </c>
      <c r="B71" s="3">
        <v>41.84418582906904</v>
      </c>
      <c r="D71" s="3">
        <v>41.914953610271127</v>
      </c>
      <c r="E71" s="3">
        <v>42.18161081943731</v>
      </c>
      <c r="F71" s="3">
        <v>43.080953800655003</v>
      </c>
      <c r="G71" s="3">
        <v>45.909367508426008</v>
      </c>
      <c r="H71" s="3">
        <v>43.547562592279178</v>
      </c>
      <c r="I71" s="3">
        <v>64.801177678500395</v>
      </c>
      <c r="J71" s="3">
        <v>44.361957436645319</v>
      </c>
    </row>
    <row r="72" spans="1:11" x14ac:dyDescent="0.25">
      <c r="A72" s="4">
        <v>0.7</v>
      </c>
      <c r="B72" s="3">
        <v>43.100509316694279</v>
      </c>
      <c r="D72" s="3">
        <v>43.182240537168667</v>
      </c>
      <c r="E72" s="3">
        <v>43.483010934454747</v>
      </c>
      <c r="F72" s="3">
        <v>44.479966852541658</v>
      </c>
      <c r="G72" s="3">
        <v>47.632557389909429</v>
      </c>
      <c r="H72" s="3">
        <v>45.133899435910969</v>
      </c>
      <c r="I72" s="3">
        <v>67.370239998755196</v>
      </c>
      <c r="J72" s="3">
        <v>46.12949637361934</v>
      </c>
    </row>
    <row r="73" spans="1:11" x14ac:dyDescent="0.25">
      <c r="A73" s="4">
        <v>0.71</v>
      </c>
      <c r="B73" s="3">
        <v>44.40004122913858</v>
      </c>
      <c r="D73" s="3">
        <v>44.494163766458939</v>
      </c>
      <c r="E73" s="3">
        <v>44.83412721843456</v>
      </c>
      <c r="F73" s="3">
        <v>45.938568586369833</v>
      </c>
      <c r="G73" s="3">
        <v>49.433197282754811</v>
      </c>
      <c r="H73" s="3">
        <v>46.806638245093502</v>
      </c>
      <c r="I73" s="3">
        <v>70.069941418092043</v>
      </c>
      <c r="J73" s="3">
        <v>48.036994235073983</v>
      </c>
    </row>
    <row r="74" spans="1:11" x14ac:dyDescent="0.25">
      <c r="A74" s="4">
        <v>0.72</v>
      </c>
      <c r="B74" s="3">
        <v>45.746373918937287</v>
      </c>
      <c r="D74" s="3">
        <v>45.855037241440378</v>
      </c>
      <c r="E74" s="3">
        <v>46.238476629233851</v>
      </c>
      <c r="F74" s="3">
        <v>47.455559026921541</v>
      </c>
      <c r="G74" s="3">
        <v>51.316711532129652</v>
      </c>
      <c r="H74" s="3">
        <v>48.569324499788948</v>
      </c>
      <c r="I74" s="3">
        <v>72.896556617015861</v>
      </c>
      <c r="J74" s="3">
        <v>50.135111517614632</v>
      </c>
    </row>
    <row r="75" spans="1:11" x14ac:dyDescent="0.25">
      <c r="A75" s="4">
        <v>0.73</v>
      </c>
      <c r="B75" s="3">
        <v>47.140743950054222</v>
      </c>
      <c r="D75" s="3">
        <v>47.26533853758577</v>
      </c>
      <c r="E75" s="3">
        <v>47.695785855362011</v>
      </c>
      <c r="F75" s="3">
        <v>49.031052010324331</v>
      </c>
      <c r="G75" s="3">
        <v>53.325129162188823</v>
      </c>
      <c r="H75" s="3">
        <v>50.439616026180047</v>
      </c>
      <c r="I75" s="3">
        <v>75.884933562663463</v>
      </c>
      <c r="J75" s="3">
        <v>52.431514957238463</v>
      </c>
    </row>
    <row r="76" spans="1:11" x14ac:dyDescent="0.25">
      <c r="A76" s="4">
        <v>0.74</v>
      </c>
      <c r="B76" s="3">
        <v>48.585130972138089</v>
      </c>
      <c r="D76" s="3">
        <v>48.727185507136319</v>
      </c>
      <c r="E76" s="3">
        <v>49.20753493217687</v>
      </c>
      <c r="F76" s="3">
        <v>50.664876074328212</v>
      </c>
      <c r="G76" s="3">
        <v>55.567860523959382</v>
      </c>
      <c r="H76" s="3">
        <v>52.428873778399627</v>
      </c>
      <c r="I76" s="3">
        <v>79.060842026168373</v>
      </c>
      <c r="J76" s="3">
        <v>54.921999405101047</v>
      </c>
    </row>
    <row r="77" spans="1:11" x14ac:dyDescent="0.25">
      <c r="A77" s="4">
        <v>0.75</v>
      </c>
      <c r="B77" s="3">
        <v>50.078820975357331</v>
      </c>
      <c r="D77" s="3">
        <v>50.239723432595802</v>
      </c>
      <c r="E77" s="3">
        <v>50.772055979845312</v>
      </c>
      <c r="F77" s="3">
        <v>52.362292907055782</v>
      </c>
      <c r="G77" s="3">
        <v>58.329824823963257</v>
      </c>
      <c r="H77" s="3">
        <v>54.533096284560813</v>
      </c>
      <c r="I77" s="3">
        <v>82.45951707805807</v>
      </c>
      <c r="J77" s="3">
        <v>57.65692649737332</v>
      </c>
    </row>
    <row r="78" spans="1:11" x14ac:dyDescent="0.25">
      <c r="A78" s="4">
        <v>0.76</v>
      </c>
      <c r="B78" s="3">
        <v>51.620995848892619</v>
      </c>
      <c r="D78" s="3">
        <v>51.803466659859403</v>
      </c>
      <c r="E78" s="3">
        <v>52.393977398356768</v>
      </c>
      <c r="F78" s="3">
        <v>54.136927072407737</v>
      </c>
      <c r="G78" s="3">
        <v>61.812164662469122</v>
      </c>
      <c r="H78" s="3">
        <v>56.755394785015582</v>
      </c>
      <c r="I78" s="3">
        <v>86.097134504478419</v>
      </c>
      <c r="J78" s="3">
        <v>60.672562304184801</v>
      </c>
    </row>
    <row r="79" spans="1:11" x14ac:dyDescent="0.25">
      <c r="A79" s="4">
        <v>0.77</v>
      </c>
      <c r="B79" s="3">
        <v>53.215101253252357</v>
      </c>
      <c r="D79" s="3">
        <v>53.421769444166181</v>
      </c>
      <c r="E79" s="3">
        <v>54.077342992784509</v>
      </c>
      <c r="F79" s="3">
        <v>56.052722310402302</v>
      </c>
      <c r="G79" s="3">
        <v>66.837920844004913</v>
      </c>
      <c r="H79" s="3">
        <v>59.118390870229547</v>
      </c>
      <c r="I79" s="3">
        <v>89.990753409499888</v>
      </c>
      <c r="J79" s="3">
        <v>64.137376366468047</v>
      </c>
    </row>
    <row r="80" spans="1:11" x14ac:dyDescent="0.25">
      <c r="A80" s="4">
        <v>0.78</v>
      </c>
      <c r="B80" s="3">
        <v>54.867420570668628</v>
      </c>
      <c r="D80" s="3">
        <v>55.110091829148047</v>
      </c>
      <c r="E80" s="3">
        <v>55.87491960088051</v>
      </c>
      <c r="F80" s="3">
        <v>58.195372903602284</v>
      </c>
      <c r="G80" s="3">
        <v>77.089944912390052</v>
      </c>
      <c r="H80" s="3">
        <v>61.627986650093092</v>
      </c>
      <c r="I80" s="3">
        <v>94.164911650203379</v>
      </c>
      <c r="J80" s="3">
        <v>68.248625162571187</v>
      </c>
    </row>
    <row r="81" spans="1:10" x14ac:dyDescent="0.25">
      <c r="A81" s="4">
        <v>0.79</v>
      </c>
      <c r="B81" s="3">
        <v>56.624233184810137</v>
      </c>
      <c r="D81" s="3">
        <v>56.917699139876163</v>
      </c>
      <c r="E81" s="3">
        <v>57.821905834293467</v>
      </c>
      <c r="F81" s="3">
        <v>60.649477057037387</v>
      </c>
      <c r="H81" s="3">
        <v>64.303435553767841</v>
      </c>
      <c r="I81" s="3">
        <v>98.675361293617385</v>
      </c>
      <c r="J81" s="3">
        <v>73.322601155181019</v>
      </c>
    </row>
    <row r="82" spans="1:10" x14ac:dyDescent="0.25">
      <c r="A82" s="4">
        <v>0.8</v>
      </c>
      <c r="B82" s="3">
        <v>58.505556516617922</v>
      </c>
      <c r="D82" s="3">
        <v>58.87592292438778</v>
      </c>
      <c r="E82" s="3">
        <v>59.999729306789291</v>
      </c>
      <c r="F82" s="3">
        <v>63.447623485302408</v>
      </c>
      <c r="H82" s="3">
        <v>67.233487088543754</v>
      </c>
      <c r="I82" s="3">
        <v>103.6399866924253</v>
      </c>
      <c r="J82" s="3">
        <v>80.05814844927329</v>
      </c>
    </row>
    <row r="83" spans="1:10" x14ac:dyDescent="0.25">
      <c r="A83" s="4">
        <v>0.81</v>
      </c>
      <c r="B83" s="3">
        <v>60.574703818026173</v>
      </c>
      <c r="D83" s="3">
        <v>61.054255403264243</v>
      </c>
      <c r="E83" s="3">
        <v>62.432716703947229</v>
      </c>
      <c r="F83" s="3">
        <v>66.587559089291844</v>
      </c>
      <c r="H83" s="3">
        <v>70.432144075430799</v>
      </c>
      <c r="I83" s="3">
        <v>109.37292856232359</v>
      </c>
      <c r="J83" s="3">
        <v>91.016683786277738</v>
      </c>
    </row>
    <row r="84" spans="1:10" x14ac:dyDescent="0.25">
      <c r="A84" s="4">
        <v>0.82</v>
      </c>
      <c r="B84" s="3">
        <v>62.843882027590439</v>
      </c>
      <c r="D84" s="3">
        <v>63.456988932442407</v>
      </c>
      <c r="E84" s="3">
        <v>65.114432360131829</v>
      </c>
      <c r="F84" s="3">
        <v>70.332895820473453</v>
      </c>
      <c r="H84" s="3">
        <v>73.922578041629436</v>
      </c>
      <c r="I84" s="3">
        <v>115.8959204862954</v>
      </c>
      <c r="J84" s="3">
        <v>114.8340908775513</v>
      </c>
    </row>
    <row r="85" spans="1:10" x14ac:dyDescent="0.25">
      <c r="A85" s="4">
        <v>0.83</v>
      </c>
      <c r="B85" s="3">
        <v>65.313617979490232</v>
      </c>
      <c r="D85" s="3">
        <v>66.079998654915912</v>
      </c>
      <c r="E85" s="3">
        <v>68.047384402667518</v>
      </c>
      <c r="F85" s="3">
        <v>75.326961582772938</v>
      </c>
      <c r="H85" s="3">
        <v>77.724828688548143</v>
      </c>
      <c r="I85" s="3">
        <v>123.3615858022897</v>
      </c>
    </row>
    <row r="86" spans="1:10" x14ac:dyDescent="0.25">
      <c r="A86" s="4">
        <v>0.84</v>
      </c>
      <c r="B86" s="3">
        <v>67.988321485812065</v>
      </c>
      <c r="D86" s="3">
        <v>68.941744667848312</v>
      </c>
      <c r="E86" s="3">
        <v>71.365966916928457</v>
      </c>
      <c r="F86" s="3">
        <v>83.211420228695616</v>
      </c>
      <c r="H86" s="3">
        <v>81.890659371164631</v>
      </c>
      <c r="I86" s="3">
        <v>132.21003473468579</v>
      </c>
    </row>
    <row r="87" spans="1:10" x14ac:dyDescent="0.25">
      <c r="A87" s="4">
        <v>0.85</v>
      </c>
      <c r="B87" s="3">
        <v>70.885935551016374</v>
      </c>
      <c r="D87" s="3">
        <v>72.136091949789858</v>
      </c>
      <c r="E87" s="3">
        <v>75.35866416002419</v>
      </c>
      <c r="F87" s="3">
        <v>101.2838730466121</v>
      </c>
      <c r="H87" s="3">
        <v>86.477429191536871</v>
      </c>
      <c r="I87" s="3">
        <v>142.94615799276039</v>
      </c>
    </row>
    <row r="88" spans="1:10" x14ac:dyDescent="0.25">
      <c r="A88" s="4">
        <v>0.86</v>
      </c>
      <c r="B88" s="3">
        <v>74.127533976171804</v>
      </c>
      <c r="D88" s="3">
        <v>75.882391321666816</v>
      </c>
      <c r="E88" s="3">
        <v>80.384592826812352</v>
      </c>
      <c r="H88" s="3">
        <v>91.845894272439352</v>
      </c>
      <c r="I88" s="3">
        <v>155.7640931253911</v>
      </c>
    </row>
    <row r="89" spans="1:10" x14ac:dyDescent="0.25">
      <c r="A89" s="4">
        <v>0.87</v>
      </c>
      <c r="B89" s="3">
        <v>77.854956265212408</v>
      </c>
      <c r="D89" s="3">
        <v>80.476626089813507</v>
      </c>
      <c r="E89" s="3">
        <v>87.255345791879975</v>
      </c>
      <c r="H89" s="3">
        <v>98.542659592608217</v>
      </c>
      <c r="I89" s="3">
        <v>171.14086336280769</v>
      </c>
    </row>
    <row r="90" spans="1:10" x14ac:dyDescent="0.25">
      <c r="A90" s="4">
        <v>0.88</v>
      </c>
      <c r="B90" s="3">
        <v>82.314337801392085</v>
      </c>
      <c r="D90" s="3">
        <v>86.437779582341065</v>
      </c>
      <c r="E90" s="3">
        <v>98.587927394719785</v>
      </c>
      <c r="H90" s="3">
        <v>106.96868489668999</v>
      </c>
      <c r="I90" s="3">
        <v>190.00150130023169</v>
      </c>
    </row>
    <row r="91" spans="1:10" x14ac:dyDescent="0.25">
      <c r="A91" s="4">
        <v>0.89</v>
      </c>
      <c r="B91" s="3">
        <v>87.793133260484055</v>
      </c>
      <c r="D91" s="3">
        <v>95.016207606623198</v>
      </c>
      <c r="E91" s="3">
        <v>123.5371435842796</v>
      </c>
      <c r="H91" s="3">
        <v>117.2417506524345</v>
      </c>
      <c r="I91" s="3">
        <v>213.0889314010405</v>
      </c>
    </row>
    <row r="92" spans="1:10" x14ac:dyDescent="0.25">
      <c r="A92" s="4">
        <v>0.9</v>
      </c>
      <c r="B92" s="3">
        <v>94.998467791326746</v>
      </c>
      <c r="D92" s="3">
        <v>108.2372155516004</v>
      </c>
      <c r="E92" s="3">
        <v>207.45173192985339</v>
      </c>
      <c r="H92" s="3">
        <v>129.9591900323706</v>
      </c>
      <c r="I92" s="3">
        <v>241.33172204642949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K10" sqref="K10"/>
    </sheetView>
  </sheetViews>
  <sheetFormatPr defaultRowHeight="15" x14ac:dyDescent="0.25"/>
  <cols>
    <col min="2" max="2" width="23.140625" bestFit="1" customWidth="1"/>
    <col min="3" max="10" width="9.140625" style="3"/>
  </cols>
  <sheetData>
    <row r="1" spans="1:10" x14ac:dyDescent="0.25">
      <c r="A1" s="11" t="s">
        <v>42</v>
      </c>
      <c r="B1" s="4" t="s">
        <v>18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</row>
    <row r="2" spans="1:10" x14ac:dyDescent="0.25">
      <c r="B2" s="4" t="s">
        <v>19</v>
      </c>
      <c r="C2" s="3">
        <v>7.5792678243506053</v>
      </c>
      <c r="D2" s="3">
        <v>7.7068735724809381</v>
      </c>
      <c r="E2" s="3">
        <v>7.7692937036982368</v>
      </c>
      <c r="F2" s="3">
        <v>7.8461247855984757</v>
      </c>
      <c r="G2" s="3">
        <v>7.9526529669589339</v>
      </c>
      <c r="H2" s="3">
        <v>8.1194087152059424</v>
      </c>
      <c r="I2" s="3">
        <v>8.4436417816398937</v>
      </c>
      <c r="J2" s="3">
        <v>9.0730240698071327</v>
      </c>
    </row>
    <row r="3" spans="1:10" x14ac:dyDescent="0.25">
      <c r="B3" s="4" t="s">
        <v>20</v>
      </c>
      <c r="C3" s="3">
        <v>10.558518308868759</v>
      </c>
      <c r="D3" s="3">
        <v>10.705793190479129</v>
      </c>
      <c r="E3" s="3">
        <v>10.77418754887985</v>
      </c>
      <c r="F3" s="3">
        <v>10.854473179556271</v>
      </c>
      <c r="G3" s="3">
        <v>10.95612344168862</v>
      </c>
      <c r="H3" s="3">
        <v>11.091583842593399</v>
      </c>
      <c r="I3" s="3">
        <v>11.29037263268361</v>
      </c>
      <c r="J3" s="3">
        <v>11.493756295373791</v>
      </c>
    </row>
    <row r="4" spans="1:10" x14ac:dyDescent="0.25">
      <c r="B4" s="4" t="s">
        <v>21</v>
      </c>
      <c r="C4" s="3">
        <v>7.8015335795725598</v>
      </c>
      <c r="D4" s="3">
        <v>7.9411316975048276</v>
      </c>
      <c r="E4" s="3">
        <v>7.9997594056566976</v>
      </c>
      <c r="F4" s="3">
        <v>8.059611999946263</v>
      </c>
      <c r="G4" s="3">
        <v>8.1195573967832715</v>
      </c>
      <c r="H4" s="3">
        <v>8.1448944923309163</v>
      </c>
      <c r="I4" s="3">
        <v>7.9982631014784316</v>
      </c>
      <c r="J4" s="3">
        <v>7.367971903011604</v>
      </c>
    </row>
    <row r="5" spans="1:10" x14ac:dyDescent="0.25">
      <c r="B5" s="4" t="s">
        <v>22</v>
      </c>
      <c r="C5" s="3">
        <v>4.9892565763833616</v>
      </c>
      <c r="D5" s="3">
        <v>4.8468097729327866</v>
      </c>
      <c r="E5" s="3">
        <v>4.7433890867440676</v>
      </c>
      <c r="F5" s="3">
        <v>4.5710129811608464</v>
      </c>
      <c r="G5" s="3">
        <v>4.2495035909492831</v>
      </c>
      <c r="H5" s="3">
        <v>3.770972183794747</v>
      </c>
      <c r="I5" s="3">
        <v>2.8691232701693798</v>
      </c>
      <c r="J5" s="3">
        <v>1.189198572187937</v>
      </c>
    </row>
    <row r="6" spans="1:10" x14ac:dyDescent="0.25">
      <c r="B6" s="4" t="s">
        <v>23</v>
      </c>
      <c r="C6" s="3">
        <v>13.563798301138791</v>
      </c>
      <c r="D6" s="3">
        <v>13.90187534028891</v>
      </c>
      <c r="E6" s="3">
        <v>14.070675054192479</v>
      </c>
      <c r="F6" s="3">
        <v>14.285200114206541</v>
      </c>
      <c r="G6" s="3">
        <v>14.594279603009751</v>
      </c>
      <c r="H6" s="3">
        <v>15.085169239431471</v>
      </c>
      <c r="I6" s="3">
        <v>16.027375967852681</v>
      </c>
      <c r="J6" s="3">
        <v>17.641115801240741</v>
      </c>
    </row>
    <row r="7" spans="1:10" x14ac:dyDescent="0.25">
      <c r="B7" s="4" t="s">
        <v>24</v>
      </c>
      <c r="C7" s="3">
        <v>14.145390415133001</v>
      </c>
      <c r="D7" s="3">
        <v>14.32971384951766</v>
      </c>
      <c r="E7" s="3">
        <v>14.41703189368711</v>
      </c>
      <c r="F7" s="3">
        <v>14.521110988103491</v>
      </c>
      <c r="G7" s="3">
        <v>14.65833265791813</v>
      </c>
      <c r="H7" s="3">
        <v>14.848620979435051</v>
      </c>
      <c r="I7" s="3">
        <v>15.131302817536939</v>
      </c>
      <c r="J7" s="3">
        <v>15.51039112068926</v>
      </c>
    </row>
    <row r="8" spans="1:10" x14ac:dyDescent="0.25">
      <c r="B8" s="4" t="s">
        <v>25</v>
      </c>
      <c r="C8" s="3">
        <v>9.8960770839850714</v>
      </c>
      <c r="D8" s="3">
        <v>9.985230114611559</v>
      </c>
      <c r="E8" s="3">
        <v>9.9876082273953539</v>
      </c>
      <c r="F8" s="3">
        <v>9.9916203791397464</v>
      </c>
      <c r="G8" s="3">
        <v>10.00490530154331</v>
      </c>
      <c r="H8" s="3">
        <v>9.9757100332206132</v>
      </c>
      <c r="I8" s="3">
        <v>9.7549588926068829</v>
      </c>
      <c r="J8" s="3">
        <v>9.4663280230441522</v>
      </c>
    </row>
    <row r="9" spans="1:10" x14ac:dyDescent="0.25">
      <c r="B9" s="4" t="s">
        <v>26</v>
      </c>
      <c r="C9" s="3">
        <v>21.078442048086949</v>
      </c>
      <c r="D9" s="3">
        <v>21.30932176526581</v>
      </c>
      <c r="E9" s="3">
        <v>21.42414203387569</v>
      </c>
      <c r="F9" s="3">
        <v>21.56900649830024</v>
      </c>
      <c r="G9" s="3">
        <v>21.772888746542261</v>
      </c>
      <c r="H9" s="3">
        <v>22.083976335210849</v>
      </c>
      <c r="I9" s="3">
        <v>22.618191134290178</v>
      </c>
      <c r="J9" s="3">
        <v>23.35870782374225</v>
      </c>
    </row>
    <row r="10" spans="1:10" x14ac:dyDescent="0.25">
      <c r="B10" s="4" t="s">
        <v>27</v>
      </c>
      <c r="C10" s="3">
        <v>4.2830312638274668</v>
      </c>
      <c r="D10" s="3">
        <v>4.007195515489232</v>
      </c>
      <c r="E10" s="3">
        <v>3.8558850176457282</v>
      </c>
      <c r="F10" s="3">
        <v>3.646953747636251</v>
      </c>
      <c r="G10" s="3">
        <v>3.346373527938507</v>
      </c>
      <c r="H10" s="3">
        <v>2.8373054277961338</v>
      </c>
      <c r="I10" s="3">
        <v>2.001296678688572</v>
      </c>
      <c r="J10" s="3">
        <v>1.161794411791512</v>
      </c>
    </row>
    <row r="11" spans="1:10" x14ac:dyDescent="0.25">
      <c r="B11" s="4" t="s">
        <v>28</v>
      </c>
      <c r="C11" s="3">
        <v>2.897075523613803</v>
      </c>
      <c r="D11" s="3">
        <v>3.0007223358999231</v>
      </c>
      <c r="E11" s="3">
        <v>3.0501548550500761</v>
      </c>
      <c r="F11" s="3">
        <v>3.1079992575376409</v>
      </c>
      <c r="G11" s="3">
        <v>3.1802477844161361</v>
      </c>
      <c r="H11" s="3">
        <v>3.2769867056085422</v>
      </c>
      <c r="I11" s="3">
        <v>3.4053264029563151</v>
      </c>
      <c r="J11" s="3">
        <v>3.3996432658529661</v>
      </c>
    </row>
    <row r="12" spans="1:10" x14ac:dyDescent="0.25">
      <c r="B12" s="4" t="s">
        <v>29</v>
      </c>
      <c r="C12" s="3">
        <v>3.2076090750281621</v>
      </c>
      <c r="D12" s="3">
        <v>2.2653328455229449</v>
      </c>
      <c r="E12" s="3">
        <v>1.9078731731684719</v>
      </c>
      <c r="F12" s="3">
        <v>1.546886068807944</v>
      </c>
      <c r="G12" s="3">
        <v>1.165134982245325</v>
      </c>
      <c r="H12" s="3">
        <v>0.76537204536632664</v>
      </c>
      <c r="I12" s="3">
        <v>0.46014732009122161</v>
      </c>
      <c r="J12" s="3">
        <v>0.33806871325325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B1048576"/>
    </sheetView>
  </sheetViews>
  <sheetFormatPr defaultRowHeight="15" x14ac:dyDescent="0.25"/>
  <cols>
    <col min="2" max="2" width="23.140625" bestFit="1" customWidth="1"/>
  </cols>
  <sheetData>
    <row r="1" spans="1:10" x14ac:dyDescent="0.25">
      <c r="A1" s="11" t="s">
        <v>42</v>
      </c>
      <c r="B1" s="4" t="s">
        <v>18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</row>
    <row r="2" spans="1:10" x14ac:dyDescent="0.25">
      <c r="B2" s="4" t="s">
        <v>19</v>
      </c>
      <c r="C2" s="3">
        <v>7.5792678243506053</v>
      </c>
      <c r="D2" s="3">
        <v>7.7446801053434422</v>
      </c>
      <c r="E2" s="3">
        <v>7.8283688567534622</v>
      </c>
      <c r="F2" s="3">
        <v>7.9322503744883077</v>
      </c>
      <c r="G2" s="3">
        <v>8.0760511709240816</v>
      </c>
      <c r="H2" s="3">
        <v>8.3109779489641191</v>
      </c>
      <c r="I2" s="3">
        <v>8.6809858217204798</v>
      </c>
      <c r="J2" s="3">
        <v>9.0239745925929533</v>
      </c>
    </row>
    <row r="3" spans="1:10" x14ac:dyDescent="0.25">
      <c r="B3" s="4" t="s">
        <v>20</v>
      </c>
      <c r="C3" s="3">
        <v>10.558518308868759</v>
      </c>
      <c r="D3" s="3">
        <v>10.71379634725889</v>
      </c>
      <c r="E3" s="3">
        <v>10.777200936709621</v>
      </c>
      <c r="F3" s="3">
        <v>10.839154309543209</v>
      </c>
      <c r="G3" s="3">
        <v>10.910219977528881</v>
      </c>
      <c r="H3" s="3">
        <v>11.075614134115121</v>
      </c>
      <c r="I3" s="3">
        <v>11.176049583471199</v>
      </c>
      <c r="J3" s="3">
        <v>10.68717143680151</v>
      </c>
    </row>
    <row r="4" spans="1:10" x14ac:dyDescent="0.25">
      <c r="B4" s="4" t="s">
        <v>21</v>
      </c>
      <c r="C4" s="3">
        <v>7.8015335795725598</v>
      </c>
      <c r="D4" s="3">
        <v>7.976255703049552</v>
      </c>
      <c r="E4" s="3">
        <v>8.0488063028124426</v>
      </c>
      <c r="F4" s="3">
        <v>8.1195114107208113</v>
      </c>
      <c r="G4" s="3">
        <v>8.169954889181664</v>
      </c>
      <c r="H4" s="3">
        <v>8.0836494019326093</v>
      </c>
      <c r="I4" s="3">
        <v>7.5460035786997022</v>
      </c>
      <c r="J4" s="3">
        <v>5.8898406404188686</v>
      </c>
    </row>
    <row r="5" spans="1:10" x14ac:dyDescent="0.25">
      <c r="B5" s="4" t="s">
        <v>22</v>
      </c>
      <c r="C5" s="3">
        <v>4.9892565763833616</v>
      </c>
      <c r="D5" s="3">
        <v>4.8034671377098253</v>
      </c>
      <c r="E5" s="3">
        <v>4.6550243525496873</v>
      </c>
      <c r="F5" s="3">
        <v>4.4037076125733714</v>
      </c>
      <c r="G5" s="3">
        <v>3.994056059477026</v>
      </c>
      <c r="H5" s="3">
        <v>3.2964760681464842</v>
      </c>
      <c r="I5" s="3">
        <v>1.9976206927645921</v>
      </c>
      <c r="J5" s="3">
        <v>0.1448490309986</v>
      </c>
    </row>
    <row r="6" spans="1:10" x14ac:dyDescent="0.25">
      <c r="B6" s="4" t="s">
        <v>23</v>
      </c>
      <c r="C6" s="3">
        <v>13.563798301138791</v>
      </c>
      <c r="D6" s="3">
        <v>14.052823565249881</v>
      </c>
      <c r="E6" s="3">
        <v>14.31725131785015</v>
      </c>
      <c r="F6" s="3">
        <v>14.67219107834593</v>
      </c>
      <c r="G6" s="3">
        <v>15.2021612583475</v>
      </c>
      <c r="H6" s="3">
        <v>16.193486361408642</v>
      </c>
      <c r="I6" s="3">
        <v>18.298534614579442</v>
      </c>
      <c r="J6" s="3">
        <v>23.114119190456311</v>
      </c>
    </row>
    <row r="7" spans="1:10" x14ac:dyDescent="0.25">
      <c r="B7" s="4" t="s">
        <v>24</v>
      </c>
      <c r="C7" s="3">
        <v>14.145390415133001</v>
      </c>
      <c r="D7" s="3">
        <v>14.3988509490101</v>
      </c>
      <c r="E7" s="3">
        <v>14.526360548364529</v>
      </c>
      <c r="F7" s="3">
        <v>14.683851408137629</v>
      </c>
      <c r="G7" s="3">
        <v>14.89520609633461</v>
      </c>
      <c r="H7" s="3">
        <v>15.20865991249287</v>
      </c>
      <c r="I7" s="3">
        <v>15.725128683301801</v>
      </c>
      <c r="J7" s="3">
        <v>16.018106120160951</v>
      </c>
    </row>
    <row r="8" spans="1:10" x14ac:dyDescent="0.25">
      <c r="B8" s="4" t="s">
        <v>25</v>
      </c>
      <c r="C8" s="3">
        <v>9.8960770839850714</v>
      </c>
      <c r="D8" s="3">
        <v>10.039338679081901</v>
      </c>
      <c r="E8" s="3">
        <v>10.068944776166321</v>
      </c>
      <c r="F8" s="3">
        <v>10.126533116074629</v>
      </c>
      <c r="G8" s="3">
        <v>10.18951506647546</v>
      </c>
      <c r="H8" s="3">
        <v>10.116499614121659</v>
      </c>
      <c r="I8" s="3">
        <v>9.8263327814258474</v>
      </c>
      <c r="J8" s="3">
        <v>8.8628986781974017</v>
      </c>
    </row>
    <row r="9" spans="1:10" x14ac:dyDescent="0.25">
      <c r="B9" s="4" t="s">
        <v>26</v>
      </c>
      <c r="C9" s="3">
        <v>21.078442048086949</v>
      </c>
      <c r="D9" s="3">
        <v>21.383875582108331</v>
      </c>
      <c r="E9" s="3">
        <v>21.541673954126839</v>
      </c>
      <c r="F9" s="3">
        <v>21.74279801936931</v>
      </c>
      <c r="G9" s="3">
        <v>22.019302996226081</v>
      </c>
      <c r="H9" s="3">
        <v>22.443876375945969</v>
      </c>
      <c r="I9" s="3">
        <v>23.085766414816511</v>
      </c>
      <c r="J9" s="3">
        <v>23.92871349891227</v>
      </c>
    </row>
    <row r="10" spans="1:10" x14ac:dyDescent="0.25">
      <c r="B10" s="4" t="s">
        <v>27</v>
      </c>
      <c r="C10" s="3">
        <v>4.2830312638274668</v>
      </c>
      <c r="D10" s="3">
        <v>3.804272883799392</v>
      </c>
      <c r="E10" s="3">
        <v>3.537191620233203</v>
      </c>
      <c r="F10" s="3">
        <v>3.1966972738250159</v>
      </c>
      <c r="G10" s="3">
        <v>2.6931799204331281</v>
      </c>
      <c r="H10" s="3">
        <v>2.0438511968109512</v>
      </c>
      <c r="I10" s="3">
        <v>1.198552841631606</v>
      </c>
      <c r="J10" s="3">
        <v>0.58765273976965038</v>
      </c>
    </row>
    <row r="11" spans="1:10" x14ac:dyDescent="0.25">
      <c r="B11" s="4" t="s">
        <v>28</v>
      </c>
      <c r="C11" s="3">
        <v>2.897075523613803</v>
      </c>
      <c r="D11" s="3">
        <v>2.9763731597197229</v>
      </c>
      <c r="E11" s="3">
        <v>3.0003578752854279</v>
      </c>
      <c r="F11" s="3">
        <v>3.0075129920447998</v>
      </c>
      <c r="G11" s="3">
        <v>2.9682784605055348</v>
      </c>
      <c r="H11" s="3">
        <v>2.774287174972387</v>
      </c>
      <c r="I11" s="3">
        <v>2.270834422603766</v>
      </c>
      <c r="J11" s="3">
        <v>1.5022922614279171</v>
      </c>
    </row>
    <row r="12" spans="1:10" x14ac:dyDescent="0.25">
      <c r="B12" s="4" t="s">
        <v>29</v>
      </c>
      <c r="C12" s="3">
        <v>3.2076090750281621</v>
      </c>
      <c r="D12" s="3">
        <v>2.106265887662611</v>
      </c>
      <c r="E12" s="3">
        <v>1.698819459141951</v>
      </c>
      <c r="F12" s="3">
        <v>1.2757924048706411</v>
      </c>
      <c r="G12" s="3">
        <v>0.88207410455977131</v>
      </c>
      <c r="H12" s="3">
        <v>0.45262181108359473</v>
      </c>
      <c r="I12" s="3">
        <v>0.19419056497984999</v>
      </c>
      <c r="J12" s="3">
        <v>0.24038181025954999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sqref="A1:B1048576"/>
    </sheetView>
  </sheetViews>
  <sheetFormatPr defaultRowHeight="15" x14ac:dyDescent="0.25"/>
  <cols>
    <col min="2" max="2" width="23.140625" bestFit="1" customWidth="1"/>
    <col min="3" max="10" width="9.140625" style="3"/>
    <col min="12" max="12" width="11.42578125" bestFit="1" customWidth="1"/>
    <col min="13" max="13" width="23.140625" bestFit="1" customWidth="1"/>
  </cols>
  <sheetData>
    <row r="1" spans="1:21" x14ac:dyDescent="0.25">
      <c r="A1" s="11" t="s">
        <v>42</v>
      </c>
      <c r="B1" s="4" t="s">
        <v>18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L1" s="13" t="s">
        <v>39</v>
      </c>
      <c r="M1" s="5" t="s">
        <v>18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</row>
    <row r="2" spans="1:21" x14ac:dyDescent="0.25">
      <c r="B2" s="4" t="s">
        <v>19</v>
      </c>
      <c r="C2" s="3">
        <v>7.5792678243506053</v>
      </c>
      <c r="D2" s="3">
        <v>7.9510803501995211</v>
      </c>
      <c r="E2" s="3">
        <v>8.2846586285302664</v>
      </c>
      <c r="F2" s="3">
        <v>8.8093343734447931</v>
      </c>
      <c r="G2" s="3">
        <v>9.6117281493700677</v>
      </c>
      <c r="H2" s="3">
        <v>10.50080457252383</v>
      </c>
      <c r="I2" s="3">
        <v>10.88482323224749</v>
      </c>
      <c r="J2" s="3">
        <v>0.18015018466611871</v>
      </c>
      <c r="L2" s="12"/>
      <c r="M2" s="5" t="s">
        <v>19</v>
      </c>
      <c r="N2" s="6">
        <f>ABS(C2-sector_SC1_2_3_up!C16) * 100</f>
        <v>7.3217564939476176E-2</v>
      </c>
      <c r="O2" s="6">
        <f>ABS(D2-sector_SC1_2_3_up!D16) * 100</f>
        <v>0.89196498004788793</v>
      </c>
      <c r="P2" s="6">
        <f>ABS(E2-sector_SC1_2_3_up!E16) * 100</f>
        <v>1.5341371469734355</v>
      </c>
      <c r="Q2" s="6">
        <f>ABS(F2-sector_SC1_2_3_up!F16) * 100</f>
        <v>0.93343734447923765</v>
      </c>
      <c r="R2" s="6">
        <f>ABS(G2-sector_SC1_2_3_up!G16) * 100</f>
        <v>4.1728149370067413</v>
      </c>
      <c r="S2" s="6">
        <f>ABS(H2-sector_SC1_2_3_up!H16) * 100</f>
        <v>4.0804572523828853</v>
      </c>
      <c r="T2" s="6">
        <f>ABS(I2-sector_SC1_2_3_up!I16) * 100</f>
        <v>14.482323224748939</v>
      </c>
      <c r="U2" s="6">
        <f>ABS(J2-sector_SC1_2_3_up!J16) * 100</f>
        <v>1.5018466611871339E-2</v>
      </c>
    </row>
    <row r="3" spans="1:21" x14ac:dyDescent="0.25">
      <c r="B3" s="4" t="s">
        <v>20</v>
      </c>
      <c r="C3" s="3">
        <v>10.558518308868759</v>
      </c>
      <c r="D3" s="3">
        <v>10.7612775621896</v>
      </c>
      <c r="E3" s="3">
        <v>10.771121189404949</v>
      </c>
      <c r="F3" s="3">
        <v>10.673163582550901</v>
      </c>
      <c r="G3" s="3">
        <v>10.349654469742569</v>
      </c>
      <c r="H3" s="3">
        <v>9.4356627866845812</v>
      </c>
      <c r="I3" s="3">
        <v>6.8574847769055296</v>
      </c>
      <c r="J3" s="3">
        <v>0</v>
      </c>
      <c r="L3" s="12"/>
      <c r="M3" s="5" t="s">
        <v>20</v>
      </c>
      <c r="N3" s="6">
        <f>ABS(C3-sector_SC1_2_3_up!C17) * 100</f>
        <v>0.14816911312411918</v>
      </c>
      <c r="O3" s="6">
        <f>ABS(D3-sector_SC1_2_3_up!D17) * 100</f>
        <v>3.8722437810401189</v>
      </c>
      <c r="P3" s="6">
        <f>ABS(E3-sector_SC1_2_3_up!E17) * 100</f>
        <v>9.8878810595049771</v>
      </c>
      <c r="Q3" s="6">
        <f>ABS(F3-sector_SC1_2_3_up!F17) * 100</f>
        <v>3.6836417449100267</v>
      </c>
      <c r="R3" s="6">
        <f>ABS(G3-sector_SC1_2_3_up!G17) * 100</f>
        <v>9.0345530257430084</v>
      </c>
      <c r="S3" s="6">
        <f>ABS(H3-sector_SC1_2_3_up!H17) * 100</f>
        <v>5.4337213315418964</v>
      </c>
      <c r="T3" s="6">
        <f>ABS(I3-sector_SC1_2_3_up!I17) * 100</f>
        <v>10.74847769055296</v>
      </c>
      <c r="U3" s="6">
        <f>ABS(J3-sector_SC1_2_3_up!J17) * 100</f>
        <v>0</v>
      </c>
    </row>
    <row r="4" spans="1:21" x14ac:dyDescent="0.25">
      <c r="B4" s="4" t="s">
        <v>21</v>
      </c>
      <c r="C4" s="3">
        <v>7.8015335795725598</v>
      </c>
      <c r="D4" s="3">
        <v>7.4436726169928562</v>
      </c>
      <c r="E4" s="3">
        <v>6.9931804474405181</v>
      </c>
      <c r="F4" s="3">
        <v>6.1652552175751962</v>
      </c>
      <c r="G4" s="3">
        <v>4.9404116517682191</v>
      </c>
      <c r="H4" s="3">
        <v>3.1183276891008278</v>
      </c>
      <c r="I4" s="3">
        <v>0.93246182256180121</v>
      </c>
      <c r="J4" s="3">
        <v>0.23912224041857999</v>
      </c>
      <c r="L4" s="12"/>
      <c r="M4" s="5" t="s">
        <v>21</v>
      </c>
      <c r="N4" s="6">
        <f>ABS(C4-sector_SC1_2_3_up!C18) * 100</f>
        <v>0.1533579572559951</v>
      </c>
      <c r="O4" s="6">
        <f>ABS(D4-sector_SC1_2_3_up!D18) * 100</f>
        <v>7.3672616992856099</v>
      </c>
      <c r="P4" s="6">
        <f>ABS(E4-sector_SC1_2_3_up!E18) * 100</f>
        <v>16.318044744051807</v>
      </c>
      <c r="Q4" s="6">
        <f>ABS(F4-sector_SC1_2_3_up!F18) * 100</f>
        <v>2.5255217575196554</v>
      </c>
      <c r="R4" s="6">
        <f>ABS(G4-sector_SC1_2_3_up!G18) * 100</f>
        <v>18.041165176821927</v>
      </c>
      <c r="S4" s="6">
        <f>ABS(H4-sector_SC1_2_3_up!H18) * 100</f>
        <v>2.8327689100827946</v>
      </c>
      <c r="T4" s="6">
        <f>ABS(I4-sector_SC1_2_3_up!I18) * 100</f>
        <v>2.7538177438198752</v>
      </c>
      <c r="U4" s="6">
        <f>ABS(J4-sector_SC1_2_3_up!J18) * 100</f>
        <v>8.7775958142000121E-2</v>
      </c>
    </row>
    <row r="5" spans="1:21" x14ac:dyDescent="0.25">
      <c r="B5" s="4" t="s">
        <v>22</v>
      </c>
      <c r="C5" s="3">
        <v>4.9892565763833616</v>
      </c>
      <c r="D5" s="3">
        <v>4.549909775742516</v>
      </c>
      <c r="E5" s="3">
        <v>4.0568467019714056</v>
      </c>
      <c r="F5" s="3">
        <v>3.357728592051743</v>
      </c>
      <c r="G5" s="3">
        <v>2.2844930261990548</v>
      </c>
      <c r="H5" s="3">
        <v>1.000068333725882</v>
      </c>
      <c r="I5" s="3">
        <v>0</v>
      </c>
      <c r="J5" s="3">
        <v>0</v>
      </c>
      <c r="L5" s="12"/>
      <c r="M5" s="5" t="s">
        <v>22</v>
      </c>
      <c r="N5" s="6">
        <f>ABS(C5-sector_SC1_2_3_up!C19) * 100</f>
        <v>7.4342361663859435E-2</v>
      </c>
      <c r="O5" s="6">
        <f>ABS(D5-sector_SC1_2_3_up!D19) * 100</f>
        <v>3.9909775742516196</v>
      </c>
      <c r="P5" s="6">
        <f>ABS(E5-sector_SC1_2_3_up!E19) * 100</f>
        <v>9.6846701971405658</v>
      </c>
      <c r="Q5" s="6">
        <f>ABS(F5-sector_SC1_2_3_up!F19) * 100</f>
        <v>2.772859205174294</v>
      </c>
      <c r="R5" s="6">
        <f>ABS(G5-sector_SC1_2_3_up!G19) * 100</f>
        <v>7.4493026199054846</v>
      </c>
      <c r="S5" s="6">
        <f>ABS(H5-sector_SC1_2_3_up!H19) * 100</f>
        <v>5.0068333725882042</v>
      </c>
      <c r="T5" s="6">
        <f>ABS(I5-sector_SC1_2_3_up!I19) * 100</f>
        <v>1</v>
      </c>
      <c r="U5" s="6">
        <f>ABS(J5-sector_SC1_2_3_up!J19) * 100</f>
        <v>0</v>
      </c>
    </row>
    <row r="6" spans="1:21" x14ac:dyDescent="0.25">
      <c r="B6" s="4" t="s">
        <v>23</v>
      </c>
      <c r="C6" s="3">
        <v>13.563798301138791</v>
      </c>
      <c r="D6" s="3">
        <v>14.90458254025409</v>
      </c>
      <c r="E6" s="3">
        <v>15.991482577345151</v>
      </c>
      <c r="F6" s="3">
        <v>17.85745860928758</v>
      </c>
      <c r="G6" s="3">
        <v>21.09148691475853</v>
      </c>
      <c r="H6" s="3">
        <v>26.04491008579943</v>
      </c>
      <c r="I6" s="3">
        <v>37.752630073324063</v>
      </c>
      <c r="J6" s="3">
        <v>81.71233278013132</v>
      </c>
      <c r="L6" s="12"/>
      <c r="M6" s="5" t="s">
        <v>23</v>
      </c>
      <c r="N6" s="6">
        <f>ABS(C6-sector_SC1_2_3_up!C20) * 100</f>
        <v>0.37983011387900945</v>
      </c>
      <c r="O6" s="6">
        <f>ABS(D6-sector_SC1_2_3_up!D20) * 100</f>
        <v>0.54174597459102358</v>
      </c>
      <c r="P6" s="6">
        <f>ABS(E6-sector_SC1_2_3_up!E20) * 100</f>
        <v>3.8517422654850364</v>
      </c>
      <c r="Q6" s="6">
        <f>ABS(F6-sector_SC1_2_3_up!F20) * 100</f>
        <v>2.2541390712419229</v>
      </c>
      <c r="R6" s="6">
        <f>ABS(G6-sector_SC1_2_3_up!G20) * 100</f>
        <v>7.8513085241471714</v>
      </c>
      <c r="S6" s="6">
        <f>ABS(H6-sector_SC1_2_3_up!H20) * 100</f>
        <v>1.491008579942843</v>
      </c>
      <c r="T6" s="6">
        <f>ABS(I6-sector_SC1_2_3_up!I20) * 100</f>
        <v>35.736992667593626</v>
      </c>
      <c r="U6" s="6">
        <f>ABS(J6-sector_SC1_2_3_up!J20) * 100</f>
        <v>0.23327801313257623</v>
      </c>
    </row>
    <row r="7" spans="1:21" x14ac:dyDescent="0.25">
      <c r="B7" s="4" t="s">
        <v>24</v>
      </c>
      <c r="C7" s="3">
        <v>14.145390415133001</v>
      </c>
      <c r="D7" s="3">
        <v>14.68978560782597</v>
      </c>
      <c r="E7" s="3">
        <v>15.02124710513206</v>
      </c>
      <c r="F7" s="3">
        <v>15.39284128825477</v>
      </c>
      <c r="G7" s="3">
        <v>15.60578509542084</v>
      </c>
      <c r="H7" s="3">
        <v>14.87162319318133</v>
      </c>
      <c r="I7" s="3">
        <v>10.737014482544611</v>
      </c>
      <c r="J7" s="3">
        <v>3.9804606830806999</v>
      </c>
      <c r="L7" s="12"/>
      <c r="M7" s="5" t="s">
        <v>24</v>
      </c>
      <c r="N7" s="6">
        <f>ABS(C7-sector_SC1_2_3_up!C21) * 100</f>
        <v>0.46095848669995831</v>
      </c>
      <c r="O7" s="6">
        <f>ABS(D7-sector_SC1_2_3_up!D21) * 100</f>
        <v>9.9785607825969791</v>
      </c>
      <c r="P7" s="6">
        <f>ABS(E7-sector_SC1_2_3_up!E21) * 100</f>
        <v>22.124710513205947</v>
      </c>
      <c r="Q7" s="6">
        <f>ABS(F7-sector_SC1_2_3_up!F21) * 100</f>
        <v>4.2841288254770404</v>
      </c>
      <c r="R7" s="6">
        <f>ABS(G7-sector_SC1_2_3_up!G21) * 100</f>
        <v>21.578509542083957</v>
      </c>
      <c r="S7" s="6">
        <f>ABS(H7-sector_SC1_2_3_up!H21) * 100</f>
        <v>7.162319318132937</v>
      </c>
      <c r="T7" s="6">
        <f>ABS(I7-sector_SC1_2_3_up!I21) * 100</f>
        <v>12.701448254461134</v>
      </c>
      <c r="U7" s="6">
        <f>ABS(J7-sector_SC1_2_3_up!J21) * 100</f>
        <v>4.6068308069990849E-2</v>
      </c>
    </row>
    <row r="8" spans="1:21" x14ac:dyDescent="0.25">
      <c r="B8" s="4" t="s">
        <v>25</v>
      </c>
      <c r="C8" s="3">
        <v>9.8960770839850714</v>
      </c>
      <c r="D8" s="3">
        <v>9.9373586721241356</v>
      </c>
      <c r="E8" s="3">
        <v>9.7550363312904658</v>
      </c>
      <c r="F8" s="3">
        <v>9.0746722842220997</v>
      </c>
      <c r="G8" s="3">
        <v>7.5494986075534811</v>
      </c>
      <c r="H8" s="3">
        <v>6.2992165369104391</v>
      </c>
      <c r="I8" s="3">
        <v>4.7398872905656013</v>
      </c>
      <c r="J8" s="3">
        <v>2.85456561655525</v>
      </c>
      <c r="L8" s="12"/>
      <c r="M8" s="5" t="s">
        <v>25</v>
      </c>
      <c r="N8" s="6">
        <f>ABS(C8-sector_SC1_2_3_up!C22) * 100</f>
        <v>0.3922916014929001</v>
      </c>
      <c r="O8" s="6">
        <f>ABS(D8-sector_SC1_2_3_up!D22) * 100</f>
        <v>5.2641327875864619</v>
      </c>
      <c r="P8" s="6">
        <f>ABS(E8-sector_SC1_2_3_up!E22) * 100</f>
        <v>8.496366870953409</v>
      </c>
      <c r="Q8" s="6">
        <f>ABS(F8-sector_SC1_2_3_up!F22) * 100</f>
        <v>1.5327715777900153</v>
      </c>
      <c r="R8" s="6">
        <f>ABS(G8-sector_SC1_2_3_up!G22) * 100</f>
        <v>18.05013924465193</v>
      </c>
      <c r="S8" s="6">
        <f>ABS(H8-sector_SC1_2_3_up!H22) * 100</f>
        <v>8.0783463089560748</v>
      </c>
      <c r="T8" s="6">
        <f>ABS(I8-sector_SC1_2_3_up!I22) * 100</f>
        <v>1.0112709434398681</v>
      </c>
      <c r="U8" s="6">
        <f>ABS(J8-sector_SC1_2_3_up!J22) * 100</f>
        <v>0.54343834447498907</v>
      </c>
    </row>
    <row r="9" spans="1:21" x14ac:dyDescent="0.25">
      <c r="B9" s="4" t="s">
        <v>26</v>
      </c>
      <c r="C9" s="3">
        <v>21.078442048086949</v>
      </c>
      <c r="D9" s="3">
        <v>21.734499650875041</v>
      </c>
      <c r="E9" s="3">
        <v>22.178477968929009</v>
      </c>
      <c r="F9" s="3">
        <v>22.778819381555991</v>
      </c>
      <c r="G9" s="3">
        <v>23.484680584464819</v>
      </c>
      <c r="H9" s="3">
        <v>24.065815351275091</v>
      </c>
      <c r="I9" s="3">
        <v>24.412305412502821</v>
      </c>
      <c r="J9" s="3">
        <v>9.5532727627649052</v>
      </c>
      <c r="L9" s="12"/>
      <c r="M9" s="5" t="s">
        <v>26</v>
      </c>
      <c r="N9" s="6">
        <f>ABS(C9-sector_SC1_2_3_up!C23) * 100</f>
        <v>0.15579519130497488</v>
      </c>
      <c r="O9" s="6">
        <f>ABS(D9-sector_SC1_2_3_up!D23) * 100</f>
        <v>0.44996508750401176</v>
      </c>
      <c r="P9" s="6">
        <f>ABS(E9-sector_SC1_2_3_up!E23) * 100</f>
        <v>0.15220310709906926</v>
      </c>
      <c r="Q9" s="6">
        <f>ABS(F9-sector_SC1_2_3_up!F23) * 100</f>
        <v>0.11806184440104062</v>
      </c>
      <c r="R9" s="6">
        <f>ABS(G9-sector_SC1_2_3_up!G23) * 100</f>
        <v>0.46805844648183381</v>
      </c>
      <c r="S9" s="6">
        <f>ABS(H9-sector_SC1_2_3_up!H23) * 100</f>
        <v>2.4184648724908442</v>
      </c>
      <c r="T9" s="6">
        <f>ABS(I9-sector_SC1_2_3_up!I23) * 100</f>
        <v>6.2305412502819735</v>
      </c>
      <c r="U9" s="6">
        <f>ABS(J9-sector_SC1_2_3_up!J23) * 100</f>
        <v>0.32727627649045132</v>
      </c>
    </row>
    <row r="10" spans="1:21" x14ac:dyDescent="0.25">
      <c r="B10" s="4" t="s">
        <v>27</v>
      </c>
      <c r="C10" s="3">
        <v>4.2830312638274668</v>
      </c>
      <c r="D10" s="3">
        <v>3.156184812221996</v>
      </c>
      <c r="E10" s="3">
        <v>2.431193939689861</v>
      </c>
      <c r="F10" s="3">
        <v>1.5838108243982241</v>
      </c>
      <c r="G10" s="3">
        <v>0.85882011403924596</v>
      </c>
      <c r="H10" s="3">
        <v>0.43020381597221707</v>
      </c>
      <c r="I10" s="3">
        <v>0.21798076349726001</v>
      </c>
      <c r="J10" s="3">
        <v>0.16667027404397</v>
      </c>
      <c r="L10" s="12"/>
      <c r="M10" s="5" t="s">
        <v>27</v>
      </c>
      <c r="N10" s="6">
        <f>ABS(C10-sector_SC1_2_3_up!C24) * 100</f>
        <v>0.3031263827466546</v>
      </c>
      <c r="O10" s="6">
        <f>ABS(D10-sector_SC1_2_3_up!D24) * 100</f>
        <v>6.3815187778004212</v>
      </c>
      <c r="P10" s="6">
        <f>ABS(E10-sector_SC1_2_3_up!E24) * 100</f>
        <v>8.8806060310139046</v>
      </c>
      <c r="Q10" s="6">
        <f>ABS(F10-sector_SC1_2_3_up!F24) * 100</f>
        <v>3.6189175601776036</v>
      </c>
      <c r="R10" s="6">
        <f>ABS(G10-sector_SC1_2_3_up!G24) * 100</f>
        <v>5.1179885960754063</v>
      </c>
      <c r="S10" s="6">
        <f>ABS(H10-sector_SC1_2_3_up!H24) * 100</f>
        <v>0.97961840277829282</v>
      </c>
      <c r="T10" s="6">
        <f>ABS(I10-sector_SC1_2_3_up!I24) * 100</f>
        <v>1.2019236502740005</v>
      </c>
      <c r="U10" s="6">
        <f>ABS(J10-sector_SC1_2_3_up!J24) * 100</f>
        <v>0.33297259560300108</v>
      </c>
    </row>
    <row r="11" spans="1:21" x14ac:dyDescent="0.25">
      <c r="B11" s="4" t="s">
        <v>28</v>
      </c>
      <c r="C11" s="3">
        <v>2.897075523613803</v>
      </c>
      <c r="D11" s="3">
        <v>3.205343928790291</v>
      </c>
      <c r="E11" s="3">
        <v>3.3926107860996888</v>
      </c>
      <c r="F11" s="3">
        <v>3.5991852096662171</v>
      </c>
      <c r="G11" s="3">
        <v>3.7976046734488191</v>
      </c>
      <c r="H11" s="3">
        <v>3.8262360419260339</v>
      </c>
      <c r="I11" s="3">
        <v>3.0185764805495041</v>
      </c>
      <c r="J11" s="3">
        <v>0.93562321633053991</v>
      </c>
      <c r="L11" s="12"/>
      <c r="M11" s="5" t="s">
        <v>28</v>
      </c>
      <c r="N11" s="6">
        <f>ABS(C11-sector_SC1_2_3_up!C25) * 100</f>
        <v>0.29244763861968615</v>
      </c>
      <c r="O11" s="6">
        <f>ABS(D11-sector_SC1_2_3_up!D25) * 100</f>
        <v>3.465607120970926</v>
      </c>
      <c r="P11" s="6">
        <f>ABS(E11-sector_SC1_2_3_up!E25) * 100</f>
        <v>7.7389213900311393</v>
      </c>
      <c r="Q11" s="6">
        <f>ABS(F11-sector_SC1_2_3_up!F25) * 100</f>
        <v>8.147903337829554E-2</v>
      </c>
      <c r="R11" s="6">
        <f>ABS(G11-sector_SC1_2_3_up!G25) * 100</f>
        <v>4.2395326551180723</v>
      </c>
      <c r="S11" s="6">
        <f>ABS(H11-sector_SC1_2_3_up!H25) * 100</f>
        <v>3.3763958073965927</v>
      </c>
      <c r="T11" s="6">
        <f>ABS(I11-sector_SC1_2_3_up!I25) * 100</f>
        <v>2.142351945049592</v>
      </c>
      <c r="U11" s="6">
        <f>ABS(J11-sector_SC1_2_3_up!J25) * 100</f>
        <v>0.43767836694600382</v>
      </c>
    </row>
    <row r="12" spans="1:21" x14ac:dyDescent="0.25">
      <c r="B12" s="4" t="s">
        <v>29</v>
      </c>
      <c r="C12" s="3">
        <v>3.2076090750281621</v>
      </c>
      <c r="D12" s="3">
        <v>1.666304482777897</v>
      </c>
      <c r="E12" s="3">
        <v>1.1241443241604889</v>
      </c>
      <c r="F12" s="3">
        <v>0.70773063698681715</v>
      </c>
      <c r="G12" s="3">
        <v>0.42583671322967243</v>
      </c>
      <c r="H12" s="3">
        <v>0.40713159289640738</v>
      </c>
      <c r="I12" s="3">
        <v>0.44683566529914998</v>
      </c>
      <c r="J12" s="3">
        <v>0.37780224200837997</v>
      </c>
      <c r="L12" s="12"/>
      <c r="M12" s="5" t="s">
        <v>29</v>
      </c>
      <c r="N12" s="6">
        <f>ABS(C12-sector_SC1_2_3_up!C26) * 100</f>
        <v>0.23909249718379044</v>
      </c>
      <c r="O12" s="6">
        <f>ABS(D12-sector_SC1_2_3_up!D26) * 100</f>
        <v>0.36955172221029287</v>
      </c>
      <c r="P12" s="6">
        <f>ABS(E12-sector_SC1_2_3_up!E26) * 100</f>
        <v>8.5855675839511036</v>
      </c>
      <c r="Q12" s="6">
        <f>ABS(F12-sector_SC1_2_3_up!F26) * 100</f>
        <v>0.22693630131828124</v>
      </c>
      <c r="R12" s="6">
        <f>ABS(G12-sector_SC1_2_3_up!G26) * 100</f>
        <v>6.416328677032757</v>
      </c>
      <c r="S12" s="6">
        <f>ABS(H12-sector_SC1_2_3_up!H26) * 100</f>
        <v>1.2868407103592605</v>
      </c>
      <c r="T12" s="6">
        <f>ABS(I12-sector_SC1_2_3_up!I26) * 100</f>
        <v>1.3164334700850044</v>
      </c>
      <c r="U12" s="6">
        <f>ABS(J12-sector_SC1_2_3_up!J26) * 100</f>
        <v>0.21977579916200307</v>
      </c>
    </row>
    <row r="15" spans="1:21" x14ac:dyDescent="0.25">
      <c r="B15" s="9" t="s">
        <v>40</v>
      </c>
      <c r="C15" s="4">
        <v>0</v>
      </c>
      <c r="D15" s="4">
        <v>30</v>
      </c>
      <c r="E15" s="4">
        <v>40</v>
      </c>
      <c r="F15" s="4">
        <v>50</v>
      </c>
      <c r="G15" s="4">
        <v>60</v>
      </c>
      <c r="H15" s="4">
        <v>70</v>
      </c>
      <c r="I15" s="4">
        <v>80</v>
      </c>
      <c r="J15" s="4">
        <v>90</v>
      </c>
    </row>
    <row r="16" spans="1:21" x14ac:dyDescent="0.25">
      <c r="B16" s="4" t="s">
        <v>19</v>
      </c>
      <c r="C16" s="3">
        <v>7.58</v>
      </c>
      <c r="D16" s="3">
        <v>7.96</v>
      </c>
      <c r="E16" s="3">
        <v>8.3000000000000007</v>
      </c>
      <c r="F16" s="3">
        <v>8.8000000000000007</v>
      </c>
      <c r="G16" s="3">
        <v>9.57</v>
      </c>
      <c r="H16" s="3">
        <v>10.46</v>
      </c>
      <c r="I16" s="3">
        <v>10.74</v>
      </c>
      <c r="J16" s="3">
        <v>0.18</v>
      </c>
    </row>
    <row r="17" spans="2:10" x14ac:dyDescent="0.25">
      <c r="B17" s="4" t="s">
        <v>20</v>
      </c>
      <c r="C17" s="3">
        <v>10.56</v>
      </c>
      <c r="D17" s="3">
        <v>10.8</v>
      </c>
      <c r="E17" s="3">
        <v>10.87</v>
      </c>
      <c r="F17" s="3">
        <v>10.71</v>
      </c>
      <c r="G17" s="3">
        <v>10.44</v>
      </c>
      <c r="H17" s="3">
        <v>9.49</v>
      </c>
      <c r="I17" s="3">
        <v>6.75</v>
      </c>
      <c r="J17" s="3">
        <v>0</v>
      </c>
    </row>
    <row r="18" spans="2:10" x14ac:dyDescent="0.25">
      <c r="B18" s="4" t="s">
        <v>21</v>
      </c>
      <c r="C18" s="3">
        <v>7.8</v>
      </c>
      <c r="D18" s="3">
        <v>7.37</v>
      </c>
      <c r="E18" s="3">
        <v>6.83</v>
      </c>
      <c r="F18" s="3">
        <v>6.14</v>
      </c>
      <c r="G18" s="3">
        <v>4.76</v>
      </c>
      <c r="H18" s="3">
        <v>3.09</v>
      </c>
      <c r="I18" s="3">
        <v>0.96</v>
      </c>
      <c r="J18" s="3">
        <v>0.24</v>
      </c>
    </row>
    <row r="19" spans="2:10" x14ac:dyDescent="0.25">
      <c r="B19" s="4" t="s">
        <v>22</v>
      </c>
      <c r="C19" s="3">
        <v>4.99</v>
      </c>
      <c r="D19" s="3">
        <v>4.51</v>
      </c>
      <c r="E19" s="3">
        <v>3.96</v>
      </c>
      <c r="F19" s="3">
        <v>3.33</v>
      </c>
      <c r="G19" s="3">
        <v>2.21</v>
      </c>
      <c r="H19" s="3">
        <v>0.95</v>
      </c>
      <c r="I19" s="3">
        <v>0.01</v>
      </c>
      <c r="J19" s="3">
        <v>0</v>
      </c>
    </row>
    <row r="20" spans="2:10" x14ac:dyDescent="0.25">
      <c r="B20" s="4" t="s">
        <v>23</v>
      </c>
      <c r="C20" s="3">
        <v>13.56</v>
      </c>
      <c r="D20" s="3">
        <v>14.91</v>
      </c>
      <c r="E20" s="3">
        <v>16.03</v>
      </c>
      <c r="F20" s="3">
        <v>17.88</v>
      </c>
      <c r="G20" s="3">
        <v>21.17</v>
      </c>
      <c r="H20" s="3">
        <v>26.03</v>
      </c>
      <c r="I20" s="3">
        <v>38.11</v>
      </c>
      <c r="J20" s="3">
        <v>81.709999999999994</v>
      </c>
    </row>
    <row r="21" spans="2:10" x14ac:dyDescent="0.25">
      <c r="B21" s="4" t="s">
        <v>35</v>
      </c>
      <c r="C21" s="3">
        <v>14.15</v>
      </c>
      <c r="D21" s="3">
        <v>14.59</v>
      </c>
      <c r="E21" s="3">
        <v>14.8</v>
      </c>
      <c r="F21" s="3">
        <v>15.35</v>
      </c>
      <c r="G21" s="3">
        <v>15.39</v>
      </c>
      <c r="H21" s="3">
        <v>14.8</v>
      </c>
      <c r="I21" s="3">
        <v>10.61</v>
      </c>
      <c r="J21" s="3">
        <v>3.98</v>
      </c>
    </row>
    <row r="22" spans="2:10" x14ac:dyDescent="0.25">
      <c r="B22" s="4" t="s">
        <v>25</v>
      </c>
      <c r="C22" s="3">
        <v>9.9</v>
      </c>
      <c r="D22" s="3">
        <v>9.99</v>
      </c>
      <c r="E22" s="3">
        <v>9.84</v>
      </c>
      <c r="F22" s="3">
        <v>9.09</v>
      </c>
      <c r="G22" s="3">
        <v>7.73</v>
      </c>
      <c r="H22" s="3">
        <v>6.38</v>
      </c>
      <c r="I22" s="3">
        <v>4.75</v>
      </c>
      <c r="J22" s="3">
        <v>2.86</v>
      </c>
    </row>
    <row r="23" spans="2:10" x14ac:dyDescent="0.25">
      <c r="B23" s="4" t="s">
        <v>36</v>
      </c>
      <c r="C23" s="3">
        <v>21.08</v>
      </c>
      <c r="D23" s="3">
        <v>21.73</v>
      </c>
      <c r="E23" s="3">
        <v>22.18</v>
      </c>
      <c r="F23" s="3">
        <v>22.78</v>
      </c>
      <c r="G23" s="3">
        <v>23.48</v>
      </c>
      <c r="H23" s="3">
        <v>24.09</v>
      </c>
      <c r="I23" s="3">
        <v>24.35</v>
      </c>
      <c r="J23" s="3">
        <v>9.5500000000000007</v>
      </c>
    </row>
    <row r="24" spans="2:10" x14ac:dyDescent="0.25">
      <c r="B24" s="4" t="s">
        <v>27</v>
      </c>
      <c r="C24" s="3">
        <v>4.28</v>
      </c>
      <c r="D24" s="3">
        <v>3.22</v>
      </c>
      <c r="E24" s="3">
        <v>2.52</v>
      </c>
      <c r="F24" s="3">
        <v>1.62</v>
      </c>
      <c r="G24" s="3">
        <v>0.91</v>
      </c>
      <c r="H24" s="3">
        <v>0.44</v>
      </c>
      <c r="I24" s="3">
        <v>0.23</v>
      </c>
      <c r="J24" s="3">
        <v>0.17</v>
      </c>
    </row>
    <row r="25" spans="2:10" x14ac:dyDescent="0.25">
      <c r="B25" s="4" t="s">
        <v>37</v>
      </c>
      <c r="C25" s="3">
        <v>2.9</v>
      </c>
      <c r="D25" s="3">
        <v>3.24</v>
      </c>
      <c r="E25" s="3">
        <v>3.47</v>
      </c>
      <c r="F25" s="3">
        <v>3.6</v>
      </c>
      <c r="G25" s="3">
        <v>3.84</v>
      </c>
      <c r="H25" s="3">
        <v>3.86</v>
      </c>
      <c r="I25" s="3">
        <v>3.04</v>
      </c>
      <c r="J25" s="3">
        <v>0.94</v>
      </c>
    </row>
    <row r="26" spans="2:10" x14ac:dyDescent="0.25">
      <c r="B26" s="4" t="s">
        <v>29</v>
      </c>
      <c r="C26" s="3">
        <v>3.21</v>
      </c>
      <c r="D26" s="3">
        <v>1.67</v>
      </c>
      <c r="E26" s="3">
        <v>1.21</v>
      </c>
      <c r="F26" s="3">
        <v>0.71</v>
      </c>
      <c r="G26" s="3">
        <v>0.49</v>
      </c>
      <c r="H26" s="3">
        <v>0.42</v>
      </c>
      <c r="I26" s="3">
        <v>0.46</v>
      </c>
      <c r="J26" s="3">
        <v>0.38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workbookViewId="0">
      <selection activeCell="K22" sqref="K22"/>
    </sheetView>
  </sheetViews>
  <sheetFormatPr defaultRowHeight="15" x14ac:dyDescent="0.25"/>
  <cols>
    <col min="2" max="2" width="23.140625" bestFit="1" customWidth="1"/>
    <col min="3" max="11" width="9.140625" style="3"/>
    <col min="12" max="12" width="11.42578125" style="3" bestFit="1" customWidth="1"/>
    <col min="13" max="13" width="23.140625" style="3" bestFit="1" customWidth="1"/>
    <col min="14" max="21" width="9.140625" style="3"/>
  </cols>
  <sheetData>
    <row r="1" spans="1:21" x14ac:dyDescent="0.25">
      <c r="A1" s="11" t="s">
        <v>42</v>
      </c>
      <c r="B1" s="4" t="s">
        <v>18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L1" s="14" t="s">
        <v>39</v>
      </c>
      <c r="M1" s="5" t="s">
        <v>18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</row>
    <row r="2" spans="1:21" x14ac:dyDescent="0.25">
      <c r="B2" s="4" t="s">
        <v>19</v>
      </c>
      <c r="C2" s="3">
        <v>7.5792678243506053</v>
      </c>
      <c r="D2" s="3">
        <v>7.9454176678804496</v>
      </c>
      <c r="E2" s="3">
        <v>8.1546214817716436</v>
      </c>
      <c r="F2" s="3">
        <v>8.4158317658192239</v>
      </c>
      <c r="G2" s="3">
        <v>8.7752614332461611</v>
      </c>
      <c r="H2" s="3">
        <v>9.3395217047428343</v>
      </c>
      <c r="I2" s="3">
        <v>10.12952852586332</v>
      </c>
      <c r="J2" s="3">
        <v>12.26873381457194</v>
      </c>
      <c r="L2" s="6"/>
      <c r="M2" s="5" t="s">
        <v>19</v>
      </c>
      <c r="N2" s="6">
        <f>ABS(C2-C16) *100</f>
        <v>7.3217564939476176E-2</v>
      </c>
      <c r="O2" s="6">
        <f t="shared" ref="O2:U2" si="0">ABS(D2-D16) *100</f>
        <v>0.45823321195506139</v>
      </c>
      <c r="P2" s="6">
        <f t="shared" si="0"/>
        <v>1.4621481771643019</v>
      </c>
      <c r="Q2" s="6">
        <f t="shared" si="0"/>
        <v>2.5831765819223307</v>
      </c>
      <c r="R2" s="6">
        <f t="shared" si="0"/>
        <v>1.526143324616136</v>
      </c>
      <c r="S2" s="6">
        <f t="shared" si="0"/>
        <v>0.95217047428342028</v>
      </c>
      <c r="T2" s="6">
        <f t="shared" si="0"/>
        <v>1.9528525863320212</v>
      </c>
      <c r="U2" s="6">
        <f t="shared" si="0"/>
        <v>3.1266185428060922</v>
      </c>
    </row>
    <row r="3" spans="1:21" x14ac:dyDescent="0.25">
      <c r="B3" s="4" t="s">
        <v>20</v>
      </c>
      <c r="C3" s="3">
        <v>10.558518308868759</v>
      </c>
      <c r="D3" s="3">
        <v>10.68601823173838</v>
      </c>
      <c r="E3" s="3">
        <v>10.688879916396139</v>
      </c>
      <c r="F3" s="3">
        <v>10.648566194671741</v>
      </c>
      <c r="G3" s="3">
        <v>10.515893419973089</v>
      </c>
      <c r="H3" s="3">
        <v>10.22928348587048</v>
      </c>
      <c r="I3" s="3">
        <v>9.6157617038446297</v>
      </c>
      <c r="J3" s="3">
        <v>6.7405768686985033</v>
      </c>
      <c r="L3" s="6"/>
      <c r="M3" s="5" t="s">
        <v>20</v>
      </c>
      <c r="N3" s="6">
        <f t="shared" ref="N3:N12" si="1">ABS(C3-C17) *100</f>
        <v>0.14816911312411918</v>
      </c>
      <c r="O3" s="6">
        <f t="shared" ref="O3:O12" si="2">ABS(D3-D17) *100</f>
        <v>6.398176826161972</v>
      </c>
      <c r="P3" s="6">
        <f t="shared" ref="P3:P12" si="3">ABS(E3-E17) *100</f>
        <v>5.1120083603860778</v>
      </c>
      <c r="Q3" s="6">
        <f t="shared" ref="Q3:Q12" si="4">ABS(F3-F17) *100</f>
        <v>10.14338053282593</v>
      </c>
      <c r="R3" s="6">
        <f t="shared" ref="R3:R12" si="5">ABS(G3-G17) *100</f>
        <v>3.4106580026911359</v>
      </c>
      <c r="S3" s="6">
        <f t="shared" ref="S3:S12" si="6">ABS(H3-H17) *100</f>
        <v>2.0716514129519581</v>
      </c>
      <c r="T3" s="6">
        <f t="shared" ref="T3:T12" si="7">ABS(I3-I17) *100</f>
        <v>1.4238296155371089</v>
      </c>
      <c r="U3" s="6">
        <f t="shared" ref="U3:U12" si="8">ABS(J3-J17) *100</f>
        <v>2.0576868698503503</v>
      </c>
    </row>
    <row r="4" spans="1:21" x14ac:dyDescent="0.25">
      <c r="B4" s="4" t="s">
        <v>21</v>
      </c>
      <c r="C4" s="3">
        <v>7.8015335795725598</v>
      </c>
      <c r="D4" s="3">
        <v>7.8031438287355899</v>
      </c>
      <c r="E4" s="3">
        <v>7.6858330020359302</v>
      </c>
      <c r="F4" s="3">
        <v>7.478319452500366</v>
      </c>
      <c r="G4" s="3">
        <v>7.1094718443131466</v>
      </c>
      <c r="H4" s="3">
        <v>6.3469957729400814</v>
      </c>
      <c r="I4" s="3">
        <v>5.0316748264023543</v>
      </c>
      <c r="J4" s="3">
        <v>1.7669473151259989</v>
      </c>
      <c r="L4" s="6"/>
      <c r="M4" s="5" t="s">
        <v>21</v>
      </c>
      <c r="N4" s="6">
        <f t="shared" si="1"/>
        <v>0.1533579572559951</v>
      </c>
      <c r="O4" s="6">
        <f t="shared" si="2"/>
        <v>13.314382873558994</v>
      </c>
      <c r="P4" s="6">
        <f t="shared" si="3"/>
        <v>8.5833002035930583</v>
      </c>
      <c r="Q4" s="6">
        <f t="shared" si="4"/>
        <v>17.831945250036618</v>
      </c>
      <c r="R4" s="6">
        <f t="shared" si="5"/>
        <v>4.9471844313146995</v>
      </c>
      <c r="S4" s="6">
        <f t="shared" si="6"/>
        <v>2.6995772940081153</v>
      </c>
      <c r="T4" s="6">
        <f t="shared" si="7"/>
        <v>3.1674826402354306</v>
      </c>
      <c r="U4" s="6">
        <f t="shared" si="8"/>
        <v>0.69473151259988875</v>
      </c>
    </row>
    <row r="5" spans="1:21" x14ac:dyDescent="0.25">
      <c r="B5" s="4" t="s">
        <v>22</v>
      </c>
      <c r="C5" s="3">
        <v>4.9892565763833616</v>
      </c>
      <c r="D5" s="3">
        <v>4.1416510156002593</v>
      </c>
      <c r="E5" s="3">
        <v>3.6518412201734112</v>
      </c>
      <c r="F5" s="3">
        <v>3.0950725979252791</v>
      </c>
      <c r="G5" s="3">
        <v>2.446289387259625</v>
      </c>
      <c r="H5" s="3">
        <v>1.5044370554034121</v>
      </c>
      <c r="I5" s="3">
        <v>0.49222920525537001</v>
      </c>
      <c r="J5" s="3">
        <v>0</v>
      </c>
      <c r="L5" s="6"/>
      <c r="M5" s="5" t="s">
        <v>22</v>
      </c>
      <c r="N5" s="6">
        <f t="shared" si="1"/>
        <v>7.4342361663859435E-2</v>
      </c>
      <c r="O5" s="6">
        <f t="shared" si="2"/>
        <v>4.1651015600259633</v>
      </c>
      <c r="P5" s="6">
        <f t="shared" si="3"/>
        <v>4.1841220173411298</v>
      </c>
      <c r="Q5" s="6">
        <f t="shared" si="4"/>
        <v>8.5072597925279325</v>
      </c>
      <c r="R5" s="6">
        <f t="shared" si="5"/>
        <v>2.6289387259625041</v>
      </c>
      <c r="S5" s="6">
        <f t="shared" si="6"/>
        <v>0.44370554034121046</v>
      </c>
      <c r="T5" s="6">
        <f t="shared" si="7"/>
        <v>0.22292052553700148</v>
      </c>
      <c r="U5" s="6">
        <f t="shared" si="8"/>
        <v>0</v>
      </c>
    </row>
    <row r="6" spans="1:21" x14ac:dyDescent="0.25">
      <c r="B6" s="4" t="s">
        <v>23</v>
      </c>
      <c r="C6" s="3">
        <v>13.563798301138791</v>
      </c>
      <c r="D6" s="3">
        <v>14.533725493859491</v>
      </c>
      <c r="E6" s="3">
        <v>15.170668325200079</v>
      </c>
      <c r="F6" s="3">
        <v>15.935291235813621</v>
      </c>
      <c r="G6" s="3">
        <v>16.897800724930772</v>
      </c>
      <c r="H6" s="3">
        <v>18.394696411499389</v>
      </c>
      <c r="I6" s="3">
        <v>20.550449613114079</v>
      </c>
      <c r="J6" s="3">
        <v>28.619649578894791</v>
      </c>
      <c r="L6" s="6"/>
      <c r="M6" s="5" t="s">
        <v>23</v>
      </c>
      <c r="N6" s="6">
        <f t="shared" si="1"/>
        <v>0.37983011387900945</v>
      </c>
      <c r="O6" s="6">
        <f t="shared" si="2"/>
        <v>1.3725493859491067</v>
      </c>
      <c r="P6" s="6">
        <f t="shared" si="3"/>
        <v>3.0668325200078783</v>
      </c>
      <c r="Q6" s="6">
        <f t="shared" si="4"/>
        <v>8.5291235813620858</v>
      </c>
      <c r="R6" s="6">
        <f t="shared" si="5"/>
        <v>0.78007249307709969</v>
      </c>
      <c r="S6" s="6">
        <f t="shared" si="6"/>
        <v>0.5303588500609635</v>
      </c>
      <c r="T6" s="6">
        <f t="shared" si="7"/>
        <v>3.955038688592083</v>
      </c>
      <c r="U6" s="6">
        <f t="shared" si="8"/>
        <v>0.96495788947912331</v>
      </c>
    </row>
    <row r="7" spans="1:21" x14ac:dyDescent="0.25">
      <c r="B7" s="4" t="s">
        <v>24</v>
      </c>
      <c r="C7" s="3">
        <v>14.145390415133001</v>
      </c>
      <c r="D7" s="3">
        <v>14.7432393969451</v>
      </c>
      <c r="E7" s="3">
        <v>15.09335607978602</v>
      </c>
      <c r="F7" s="3">
        <v>15.496467661902649</v>
      </c>
      <c r="G7" s="3">
        <v>15.99706047049327</v>
      </c>
      <c r="H7" s="3">
        <v>16.77520032753818</v>
      </c>
      <c r="I7" s="3">
        <v>17.76526043059626</v>
      </c>
      <c r="J7" s="3">
        <v>17.689958686359908</v>
      </c>
      <c r="L7" s="6"/>
      <c r="M7" s="5" t="s">
        <v>24</v>
      </c>
      <c r="N7" s="6">
        <f t="shared" si="1"/>
        <v>0.46095848669995831</v>
      </c>
      <c r="O7" s="6">
        <f t="shared" si="2"/>
        <v>15.323939694510003</v>
      </c>
      <c r="P7" s="6">
        <f t="shared" si="3"/>
        <v>11.335607978601914</v>
      </c>
      <c r="Q7" s="6">
        <f t="shared" si="4"/>
        <v>23.646766190264934</v>
      </c>
      <c r="R7" s="6">
        <f t="shared" si="5"/>
        <v>4.7060470493271112</v>
      </c>
      <c r="S7" s="6">
        <f t="shared" si="6"/>
        <v>2.5200327538179579</v>
      </c>
      <c r="T7" s="6">
        <f t="shared" si="7"/>
        <v>6.5260430596261187</v>
      </c>
      <c r="U7" s="6">
        <f t="shared" si="8"/>
        <v>1.9958686359906608</v>
      </c>
    </row>
    <row r="8" spans="1:21" x14ac:dyDescent="0.25">
      <c r="B8" s="4" t="s">
        <v>25</v>
      </c>
      <c r="C8" s="3">
        <v>9.8960770839850714</v>
      </c>
      <c r="D8" s="3">
        <v>9.2791101330268937</v>
      </c>
      <c r="E8" s="3">
        <v>9.0096944458079662</v>
      </c>
      <c r="F8" s="3">
        <v>8.7140576708529114</v>
      </c>
      <c r="G8" s="3">
        <v>8.3608071754150401</v>
      </c>
      <c r="H8" s="3">
        <v>7.7913483192154089</v>
      </c>
      <c r="I8" s="3">
        <v>7.2099085658167468</v>
      </c>
      <c r="J8" s="3">
        <v>6.0269068279031321</v>
      </c>
      <c r="L8" s="6"/>
      <c r="M8" s="5" t="s">
        <v>25</v>
      </c>
      <c r="N8" s="6">
        <f t="shared" si="1"/>
        <v>0.3922916014929001</v>
      </c>
      <c r="O8" s="6">
        <f t="shared" si="2"/>
        <v>11.088986697310688</v>
      </c>
      <c r="P8" s="6">
        <f t="shared" si="3"/>
        <v>9.0305554192033455</v>
      </c>
      <c r="Q8" s="6">
        <f t="shared" si="4"/>
        <v>24.594232914708947</v>
      </c>
      <c r="R8" s="6">
        <f t="shared" si="5"/>
        <v>5.919282458495978</v>
      </c>
      <c r="S8" s="6">
        <f t="shared" si="6"/>
        <v>0.86516807845908872</v>
      </c>
      <c r="T8" s="6">
        <f t="shared" si="7"/>
        <v>9.1434183253191748E-3</v>
      </c>
      <c r="U8" s="6">
        <f t="shared" si="8"/>
        <v>0.6906827903132573</v>
      </c>
    </row>
    <row r="9" spans="1:21" x14ac:dyDescent="0.25">
      <c r="B9" s="4" t="s">
        <v>26</v>
      </c>
      <c r="C9" s="3">
        <v>21.078442048086949</v>
      </c>
      <c r="D9" s="3">
        <v>21.684105720476659</v>
      </c>
      <c r="E9" s="3">
        <v>22.02564119750976</v>
      </c>
      <c r="F9" s="3">
        <v>22.38772012826599</v>
      </c>
      <c r="G9" s="3">
        <v>22.877895342064861</v>
      </c>
      <c r="H9" s="3">
        <v>23.50994642724827</v>
      </c>
      <c r="I9" s="3">
        <v>24.116614819618011</v>
      </c>
      <c r="J9" s="3">
        <v>24.022225612058801</v>
      </c>
      <c r="L9" s="6"/>
      <c r="M9" s="5" t="s">
        <v>26</v>
      </c>
      <c r="N9" s="6">
        <f t="shared" si="1"/>
        <v>0.15579519130497488</v>
      </c>
      <c r="O9" s="6">
        <f t="shared" si="2"/>
        <v>1.4105720476656813</v>
      </c>
      <c r="P9" s="6">
        <f t="shared" si="3"/>
        <v>1.5641197509758342</v>
      </c>
      <c r="Q9" s="6">
        <f t="shared" si="4"/>
        <v>1.7720128265988677</v>
      </c>
      <c r="R9" s="6">
        <f t="shared" si="5"/>
        <v>0.7895342064859534</v>
      </c>
      <c r="S9" s="6">
        <f t="shared" si="6"/>
        <v>5.3572751731678636E-3</v>
      </c>
      <c r="T9" s="6">
        <f t="shared" si="7"/>
        <v>0.66148196180115804</v>
      </c>
      <c r="U9" s="6">
        <f t="shared" si="8"/>
        <v>4.7774387941199592</v>
      </c>
    </row>
    <row r="10" spans="1:21" x14ac:dyDescent="0.25">
      <c r="B10" s="4" t="s">
        <v>27</v>
      </c>
      <c r="C10" s="3">
        <v>4.2830312638274668</v>
      </c>
      <c r="D10" s="3">
        <v>3.782557056948284</v>
      </c>
      <c r="E10" s="3">
        <v>3.4641292992894179</v>
      </c>
      <c r="F10" s="3">
        <v>3.061119069773119</v>
      </c>
      <c r="G10" s="3">
        <v>2.556499153302989</v>
      </c>
      <c r="H10" s="3">
        <v>1.8509415010890189</v>
      </c>
      <c r="I10" s="3">
        <v>1.144593760930517</v>
      </c>
      <c r="J10" s="3">
        <v>0.24013962361317001</v>
      </c>
      <c r="L10" s="6"/>
      <c r="M10" s="5" t="s">
        <v>27</v>
      </c>
      <c r="N10" s="6">
        <f t="shared" si="1"/>
        <v>0.3031263827466546</v>
      </c>
      <c r="O10" s="6">
        <f t="shared" si="2"/>
        <v>4.7442943051716036</v>
      </c>
      <c r="P10" s="6">
        <f t="shared" si="3"/>
        <v>4.5870700710581858</v>
      </c>
      <c r="Q10" s="6">
        <f t="shared" si="4"/>
        <v>8.8880930226880928</v>
      </c>
      <c r="R10" s="6">
        <f t="shared" si="5"/>
        <v>1.3500846697010793</v>
      </c>
      <c r="S10" s="6">
        <f t="shared" si="6"/>
        <v>0.90584989109812053</v>
      </c>
      <c r="T10" s="6">
        <f t="shared" si="7"/>
        <v>3.5406239069482925</v>
      </c>
      <c r="U10" s="6">
        <f t="shared" si="8"/>
        <v>1.3962361317002014E-2</v>
      </c>
    </row>
    <row r="11" spans="1:21" x14ac:dyDescent="0.25">
      <c r="B11" s="4" t="s">
        <v>28</v>
      </c>
      <c r="C11" s="3">
        <v>2.897075523613803</v>
      </c>
      <c r="D11" s="3">
        <v>3.1229821037807279</v>
      </c>
      <c r="E11" s="3">
        <v>3.2658557747655839</v>
      </c>
      <c r="F11" s="3">
        <v>3.4118956358783028</v>
      </c>
      <c r="G11" s="3">
        <v>3.5676531758680579</v>
      </c>
      <c r="H11" s="3">
        <v>3.7170609879566121</v>
      </c>
      <c r="I11" s="3">
        <v>3.7056201093032501</v>
      </c>
      <c r="J11" s="3">
        <v>2.5092581169844919</v>
      </c>
      <c r="L11" s="6"/>
      <c r="M11" s="5" t="s">
        <v>28</v>
      </c>
      <c r="N11" s="6">
        <f t="shared" si="1"/>
        <v>0.29244763861968615</v>
      </c>
      <c r="O11" s="6">
        <f t="shared" si="2"/>
        <v>6.7017896219272011</v>
      </c>
      <c r="P11" s="6">
        <f t="shared" si="3"/>
        <v>3.4144225234415959</v>
      </c>
      <c r="Q11" s="6">
        <f t="shared" si="4"/>
        <v>7.8104364121697412</v>
      </c>
      <c r="R11" s="6">
        <f t="shared" si="5"/>
        <v>1.2346824131942213</v>
      </c>
      <c r="S11" s="6">
        <f t="shared" si="6"/>
        <v>0.29390120433880895</v>
      </c>
      <c r="T11" s="6">
        <f t="shared" si="7"/>
        <v>1.4379890696750053</v>
      </c>
      <c r="U11" s="6">
        <f t="shared" si="8"/>
        <v>1.9258116984491647</v>
      </c>
    </row>
    <row r="12" spans="1:21" x14ac:dyDescent="0.25">
      <c r="B12" s="4" t="s">
        <v>29</v>
      </c>
      <c r="C12" s="3">
        <v>3.2076090750281621</v>
      </c>
      <c r="D12" s="3">
        <v>2.2780493510019659</v>
      </c>
      <c r="E12" s="3">
        <v>1.78947925725804</v>
      </c>
      <c r="F12" s="3">
        <v>1.355658586590661</v>
      </c>
      <c r="G12" s="3">
        <v>0.89536787312734289</v>
      </c>
      <c r="H12" s="3">
        <v>0.5405680064909465</v>
      </c>
      <c r="I12" s="3">
        <v>0.2383584392507774</v>
      </c>
      <c r="J12" s="3">
        <v>0.11560355578688999</v>
      </c>
      <c r="L12" s="6"/>
      <c r="M12" s="5" t="s">
        <v>29</v>
      </c>
      <c r="N12" s="6">
        <f t="shared" si="1"/>
        <v>0.23909249718379044</v>
      </c>
      <c r="O12" s="6">
        <f t="shared" si="2"/>
        <v>6.195064899803393</v>
      </c>
      <c r="P12" s="6">
        <f t="shared" si="3"/>
        <v>7.0520742741960074</v>
      </c>
      <c r="Q12" s="6">
        <f t="shared" si="4"/>
        <v>10.4341413409339</v>
      </c>
      <c r="R12" s="6">
        <f t="shared" si="5"/>
        <v>3.4632126872657154</v>
      </c>
      <c r="S12" s="6">
        <f t="shared" si="6"/>
        <v>0.94319935090535489</v>
      </c>
      <c r="T12" s="6">
        <f t="shared" si="7"/>
        <v>2.1641560749222606</v>
      </c>
      <c r="U12" s="6">
        <f t="shared" si="8"/>
        <v>0.56035557868899932</v>
      </c>
    </row>
    <row r="15" spans="1:21" x14ac:dyDescent="0.25">
      <c r="B15" s="9" t="s">
        <v>40</v>
      </c>
      <c r="C15" s="3">
        <v>0</v>
      </c>
      <c r="D15" s="3">
        <v>30</v>
      </c>
      <c r="E15" s="3">
        <v>40</v>
      </c>
      <c r="F15" s="3">
        <v>50</v>
      </c>
      <c r="G15" s="3">
        <v>60</v>
      </c>
      <c r="H15" s="3">
        <v>70</v>
      </c>
      <c r="I15" s="3">
        <v>80</v>
      </c>
      <c r="J15" s="3">
        <v>90</v>
      </c>
    </row>
    <row r="16" spans="1:21" x14ac:dyDescent="0.25">
      <c r="B16" s="4" t="s">
        <v>19</v>
      </c>
      <c r="C16" s="3">
        <v>7.58</v>
      </c>
      <c r="D16" s="3">
        <v>7.95</v>
      </c>
      <c r="E16" s="3">
        <v>8.14</v>
      </c>
      <c r="F16" s="3">
        <v>8.39</v>
      </c>
      <c r="G16" s="3">
        <v>8.76</v>
      </c>
      <c r="H16" s="3">
        <v>9.33</v>
      </c>
      <c r="I16" s="3">
        <v>10.11</v>
      </c>
      <c r="J16" s="3">
        <v>12.3</v>
      </c>
    </row>
    <row r="17" spans="2:10" x14ac:dyDescent="0.25">
      <c r="B17" s="4" t="s">
        <v>20</v>
      </c>
      <c r="C17" s="3">
        <v>10.56</v>
      </c>
      <c r="D17" s="3">
        <v>10.75</v>
      </c>
      <c r="E17" s="3">
        <v>10.74</v>
      </c>
      <c r="F17" s="3">
        <v>10.75</v>
      </c>
      <c r="G17" s="3">
        <v>10.55</v>
      </c>
      <c r="H17" s="3">
        <v>10.25</v>
      </c>
      <c r="I17" s="3">
        <v>9.6300000000000008</v>
      </c>
      <c r="J17" s="3">
        <v>6.72</v>
      </c>
    </row>
    <row r="18" spans="2:10" x14ac:dyDescent="0.25">
      <c r="B18" s="4" t="s">
        <v>21</v>
      </c>
      <c r="C18" s="3">
        <v>7.8</v>
      </c>
      <c r="D18" s="3">
        <v>7.67</v>
      </c>
      <c r="E18" s="3">
        <v>7.6</v>
      </c>
      <c r="F18" s="3">
        <v>7.3</v>
      </c>
      <c r="G18" s="3">
        <v>7.06</v>
      </c>
      <c r="H18" s="3">
        <v>6.32</v>
      </c>
      <c r="I18" s="3">
        <v>5</v>
      </c>
      <c r="J18" s="3">
        <v>1.76</v>
      </c>
    </row>
    <row r="19" spans="2:10" x14ac:dyDescent="0.25">
      <c r="B19" s="4" t="s">
        <v>22</v>
      </c>
      <c r="C19" s="3">
        <v>4.99</v>
      </c>
      <c r="D19" s="3">
        <v>4.0999999999999996</v>
      </c>
      <c r="E19" s="3">
        <v>3.61</v>
      </c>
      <c r="F19" s="3">
        <v>3.01</v>
      </c>
      <c r="G19" s="3">
        <v>2.42</v>
      </c>
      <c r="H19" s="3">
        <v>1.5</v>
      </c>
      <c r="I19" s="3">
        <v>0.49</v>
      </c>
      <c r="J19" s="3">
        <v>0</v>
      </c>
    </row>
    <row r="20" spans="2:10" x14ac:dyDescent="0.25">
      <c r="B20" s="4" t="s">
        <v>23</v>
      </c>
      <c r="C20" s="3">
        <v>13.56</v>
      </c>
      <c r="D20" s="3">
        <v>14.52</v>
      </c>
      <c r="E20" s="3">
        <v>15.14</v>
      </c>
      <c r="F20" s="3">
        <v>15.85</v>
      </c>
      <c r="G20" s="3">
        <v>16.89</v>
      </c>
      <c r="H20" s="3">
        <v>18.399999999999999</v>
      </c>
      <c r="I20" s="3">
        <v>20.59</v>
      </c>
      <c r="J20" s="3">
        <v>28.61</v>
      </c>
    </row>
    <row r="21" spans="2:10" x14ac:dyDescent="0.25">
      <c r="B21" s="4" t="s">
        <v>35</v>
      </c>
      <c r="C21" s="3">
        <v>14.15</v>
      </c>
      <c r="D21" s="3">
        <v>14.59</v>
      </c>
      <c r="E21" s="3">
        <v>14.98</v>
      </c>
      <c r="F21" s="3">
        <v>15.26</v>
      </c>
      <c r="G21" s="3">
        <v>15.95</v>
      </c>
      <c r="H21" s="3">
        <v>16.75</v>
      </c>
      <c r="I21" s="3">
        <v>17.7</v>
      </c>
      <c r="J21" s="3">
        <v>17.670000000000002</v>
      </c>
    </row>
    <row r="22" spans="2:10" x14ac:dyDescent="0.25">
      <c r="B22" s="4" t="s">
        <v>25</v>
      </c>
      <c r="C22" s="3">
        <v>9.9</v>
      </c>
      <c r="D22" s="3">
        <v>9.39</v>
      </c>
      <c r="E22" s="3">
        <v>9.1</v>
      </c>
      <c r="F22" s="3">
        <v>8.9600000000000009</v>
      </c>
      <c r="G22" s="3">
        <v>8.42</v>
      </c>
      <c r="H22" s="3">
        <v>7.8</v>
      </c>
      <c r="I22" s="3">
        <v>7.21</v>
      </c>
      <c r="J22" s="3">
        <v>6.02</v>
      </c>
    </row>
    <row r="23" spans="2:10" x14ac:dyDescent="0.25">
      <c r="B23" s="4" t="s">
        <v>36</v>
      </c>
      <c r="C23" s="3">
        <v>21.08</v>
      </c>
      <c r="D23" s="3">
        <v>21.67</v>
      </c>
      <c r="E23" s="3">
        <v>22.01</v>
      </c>
      <c r="F23" s="3">
        <v>22.37</v>
      </c>
      <c r="G23" s="3">
        <v>22.87</v>
      </c>
      <c r="H23" s="3">
        <v>23.51</v>
      </c>
      <c r="I23" s="3">
        <v>24.11</v>
      </c>
      <c r="J23" s="3">
        <v>24.07</v>
      </c>
    </row>
    <row r="24" spans="2:10" x14ac:dyDescent="0.25">
      <c r="B24" s="4" t="s">
        <v>27</v>
      </c>
      <c r="C24" s="3">
        <v>4.28</v>
      </c>
      <c r="D24" s="3">
        <v>3.83</v>
      </c>
      <c r="E24" s="3">
        <v>3.51</v>
      </c>
      <c r="F24" s="3">
        <v>3.15</v>
      </c>
      <c r="G24" s="3">
        <v>2.57</v>
      </c>
      <c r="H24" s="3">
        <v>1.86</v>
      </c>
      <c r="I24" s="3">
        <v>1.18</v>
      </c>
      <c r="J24" s="3">
        <v>0.24</v>
      </c>
    </row>
    <row r="25" spans="2:10" x14ac:dyDescent="0.25">
      <c r="B25" s="4" t="s">
        <v>37</v>
      </c>
      <c r="C25" s="3">
        <v>2.9</v>
      </c>
      <c r="D25" s="3">
        <v>3.19</v>
      </c>
      <c r="E25" s="3">
        <v>3.3</v>
      </c>
      <c r="F25" s="3">
        <v>3.49</v>
      </c>
      <c r="G25" s="3">
        <v>3.58</v>
      </c>
      <c r="H25" s="3">
        <v>3.72</v>
      </c>
      <c r="I25" s="3">
        <v>3.72</v>
      </c>
      <c r="J25" s="3">
        <v>2.4900000000000002</v>
      </c>
    </row>
    <row r="26" spans="2:10" x14ac:dyDescent="0.25">
      <c r="B26" s="4" t="s">
        <v>29</v>
      </c>
      <c r="C26" s="3">
        <v>3.21</v>
      </c>
      <c r="D26" s="3">
        <v>2.34</v>
      </c>
      <c r="E26" s="3">
        <v>1.86</v>
      </c>
      <c r="F26" s="3">
        <v>1.46</v>
      </c>
      <c r="G26" s="3">
        <v>0.93</v>
      </c>
      <c r="H26" s="3">
        <v>0.55000000000000004</v>
      </c>
      <c r="I26" s="3">
        <v>0.26</v>
      </c>
      <c r="J26" s="3">
        <v>0.11</v>
      </c>
    </row>
    <row r="27" spans="2:10" x14ac:dyDescent="0.25">
      <c r="B27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activeCell="Q20" sqref="Q20"/>
    </sheetView>
  </sheetViews>
  <sheetFormatPr defaultRowHeight="15" x14ac:dyDescent="0.25"/>
  <cols>
    <col min="1" max="1" width="12.42578125" bestFit="1" customWidth="1"/>
    <col min="2" max="2" width="16" bestFit="1" customWidth="1"/>
    <col min="11" max="11" width="12.42578125" style="10" bestFit="1" customWidth="1"/>
    <col min="12" max="18" width="9.140625" style="10"/>
  </cols>
  <sheetData>
    <row r="1" spans="1:18" x14ac:dyDescent="0.25">
      <c r="A1" s="11" t="s">
        <v>43</v>
      </c>
      <c r="B1" s="1" t="s">
        <v>34</v>
      </c>
      <c r="C1" s="2">
        <v>0.3</v>
      </c>
      <c r="D1" s="2">
        <v>0.4</v>
      </c>
      <c r="E1" s="2">
        <v>0.5</v>
      </c>
      <c r="F1" s="2">
        <v>0.6</v>
      </c>
      <c r="G1" s="2">
        <v>0.7</v>
      </c>
      <c r="H1" s="2">
        <v>0.8</v>
      </c>
      <c r="I1" s="2">
        <v>0.9</v>
      </c>
      <c r="K1" s="15" t="s">
        <v>39</v>
      </c>
      <c r="L1" s="7">
        <v>0.3</v>
      </c>
      <c r="M1" s="7">
        <v>0.4</v>
      </c>
      <c r="N1" s="7">
        <v>0.5</v>
      </c>
      <c r="O1" s="7">
        <v>0.6</v>
      </c>
      <c r="P1" s="7">
        <v>0.7</v>
      </c>
      <c r="Q1" s="7">
        <v>0.8</v>
      </c>
      <c r="R1" s="7">
        <v>0.9</v>
      </c>
    </row>
    <row r="2" spans="1:18" x14ac:dyDescent="0.25">
      <c r="A2" s="1" t="s">
        <v>30</v>
      </c>
      <c r="B2" s="3">
        <v>5.2449460489255104</v>
      </c>
      <c r="C2" s="3">
        <v>5.2066702004095227</v>
      </c>
      <c r="D2" s="3">
        <v>5.1913416926956817</v>
      </c>
      <c r="E2" s="3">
        <v>5.183112676448399</v>
      </c>
      <c r="F2" s="3">
        <v>5.16065852760069</v>
      </c>
      <c r="G2" s="3">
        <v>5.1182049185374394</v>
      </c>
      <c r="H2" s="3">
        <v>5.0774426735547991</v>
      </c>
      <c r="I2" s="3">
        <v>5.005448250944097</v>
      </c>
      <c r="K2" s="5" t="s">
        <v>30</v>
      </c>
      <c r="L2" s="6">
        <f>ABS(C2-C8)</f>
        <v>0.12332979959047741</v>
      </c>
      <c r="M2" s="6">
        <f t="shared" ref="M2:R5" si="0">ABS(D2-D8) * 100</f>
        <v>3.865830730431874</v>
      </c>
      <c r="N2" s="6">
        <f t="shared" si="0"/>
        <v>7.6887323551600772</v>
      </c>
      <c r="O2" s="6">
        <f t="shared" si="0"/>
        <v>6.9341472399310433</v>
      </c>
      <c r="P2" s="6">
        <f t="shared" si="0"/>
        <v>1.1795081462560475</v>
      </c>
      <c r="Q2" s="6">
        <f t="shared" si="0"/>
        <v>7.2557326445201298</v>
      </c>
      <c r="R2" s="6">
        <f t="shared" si="0"/>
        <v>2.4551749055903294</v>
      </c>
    </row>
    <row r="3" spans="1:18" x14ac:dyDescent="0.25">
      <c r="A3" s="1" t="s">
        <v>31</v>
      </c>
      <c r="B3" s="3">
        <v>5.2449460489255104</v>
      </c>
      <c r="C3" s="3">
        <v>5.1713149592053318</v>
      </c>
      <c r="D3" s="3">
        <v>5.1357163769459646</v>
      </c>
      <c r="E3" s="3">
        <v>5.0866404182915392</v>
      </c>
      <c r="F3" s="3">
        <v>4.9937790457691573</v>
      </c>
      <c r="G3" s="3">
        <v>4.8290656891419861</v>
      </c>
      <c r="H3" s="3">
        <v>4.644450274357089</v>
      </c>
      <c r="I3" s="3">
        <v>4.5154557463796916</v>
      </c>
      <c r="K3" s="5" t="s">
        <v>31</v>
      </c>
      <c r="L3" s="6">
        <f t="shared" ref="L3:L5" si="1">ABS(C3-C9)</f>
        <v>0.15868504079466828</v>
      </c>
      <c r="M3" s="6">
        <f t="shared" si="0"/>
        <v>9.4283623054035814</v>
      </c>
      <c r="N3" s="6">
        <f t="shared" si="0"/>
        <v>14.335958170846119</v>
      </c>
      <c r="O3" s="6">
        <f t="shared" si="0"/>
        <v>1.6220954230842466</v>
      </c>
      <c r="P3" s="6">
        <f t="shared" si="0"/>
        <v>7.0934310858014271</v>
      </c>
      <c r="Q3" s="6">
        <f t="shared" si="0"/>
        <v>2.5549725642910914</v>
      </c>
      <c r="R3" s="6">
        <f t="shared" si="0"/>
        <v>1.4544253620308645</v>
      </c>
    </row>
    <row r="4" spans="1:18" x14ac:dyDescent="0.25">
      <c r="A4" s="1" t="s">
        <v>32</v>
      </c>
      <c r="B4" s="3">
        <v>5.2449460489255104</v>
      </c>
      <c r="C4" s="3">
        <v>5.148370487242671</v>
      </c>
      <c r="D4" s="3">
        <v>5.0685520177306618</v>
      </c>
      <c r="E4" s="3">
        <v>4.8943492154297363</v>
      </c>
      <c r="F4" s="3">
        <v>4.6856602482506267</v>
      </c>
      <c r="G4" s="3">
        <v>4.4177119902805781</v>
      </c>
      <c r="H4" s="3">
        <v>3.8995995304792439</v>
      </c>
      <c r="I4" s="3">
        <v>0.67800044406454452</v>
      </c>
      <c r="K4" s="5" t="s">
        <v>32</v>
      </c>
      <c r="L4" s="6">
        <f t="shared" si="1"/>
        <v>3.1629512757328726E-2</v>
      </c>
      <c r="M4" s="6">
        <f t="shared" si="0"/>
        <v>8.1447982269338581</v>
      </c>
      <c r="N4" s="6">
        <f t="shared" si="0"/>
        <v>1.5650784570263809</v>
      </c>
      <c r="O4" s="6">
        <f t="shared" si="0"/>
        <v>7.4339751749373129</v>
      </c>
      <c r="P4" s="6">
        <f t="shared" si="0"/>
        <v>4.2288009719421815</v>
      </c>
      <c r="Q4" s="6">
        <f t="shared" si="0"/>
        <v>1.0400469520756239</v>
      </c>
      <c r="R4" s="6">
        <f t="shared" si="0"/>
        <v>0.19995559354555326</v>
      </c>
    </row>
    <row r="5" spans="1:18" x14ac:dyDescent="0.25">
      <c r="A5" s="1" t="s">
        <v>33</v>
      </c>
      <c r="B5" s="3">
        <v>5.2449460489255104</v>
      </c>
      <c r="C5" s="3">
        <v>5.1740360709192927</v>
      </c>
      <c r="D5" s="3">
        <v>5.1192505771330046</v>
      </c>
      <c r="E5" s="3">
        <v>5.0464915336721337</v>
      </c>
      <c r="F5" s="3">
        <v>4.96606135903978</v>
      </c>
      <c r="G5" s="3">
        <v>4.8019614780650839</v>
      </c>
      <c r="H5" s="3">
        <v>4.549485575736349</v>
      </c>
      <c r="I5" s="3">
        <v>3.734623200027408</v>
      </c>
      <c r="K5" s="5" t="s">
        <v>33</v>
      </c>
      <c r="L5" s="6">
        <f t="shared" si="1"/>
        <v>6.5963929080707473E-2</v>
      </c>
      <c r="M5" s="6">
        <f t="shared" si="0"/>
        <v>4.0749422866995566</v>
      </c>
      <c r="N5" s="6">
        <f t="shared" si="0"/>
        <v>10.35084663278667</v>
      </c>
      <c r="O5" s="6">
        <f t="shared" si="0"/>
        <v>1.3938640960220461</v>
      </c>
      <c r="P5" s="6">
        <f t="shared" si="0"/>
        <v>0.80385219349157211</v>
      </c>
      <c r="Q5" s="6">
        <f t="shared" si="0"/>
        <v>2.0514424263651243</v>
      </c>
      <c r="R5" s="6">
        <f t="shared" si="0"/>
        <v>0.53767999725922166</v>
      </c>
    </row>
    <row r="7" spans="1:18" x14ac:dyDescent="0.25">
      <c r="A7" s="8" t="s">
        <v>40</v>
      </c>
      <c r="B7">
        <v>0</v>
      </c>
      <c r="C7">
        <v>30</v>
      </c>
      <c r="D7">
        <v>40</v>
      </c>
      <c r="E7">
        <v>50</v>
      </c>
      <c r="F7">
        <v>60</v>
      </c>
      <c r="G7">
        <v>70</v>
      </c>
      <c r="H7">
        <v>80</v>
      </c>
      <c r="I7">
        <v>90</v>
      </c>
    </row>
    <row r="8" spans="1:18" x14ac:dyDescent="0.25">
      <c r="A8" s="1" t="s">
        <v>30</v>
      </c>
      <c r="B8">
        <v>5.24</v>
      </c>
      <c r="C8">
        <v>5.33</v>
      </c>
      <c r="D8">
        <v>5.23</v>
      </c>
      <c r="E8">
        <v>5.26</v>
      </c>
      <c r="F8">
        <v>5.23</v>
      </c>
      <c r="G8">
        <v>5.13</v>
      </c>
      <c r="H8">
        <v>5.15</v>
      </c>
      <c r="I8">
        <v>5.03</v>
      </c>
    </row>
    <row r="9" spans="1:18" x14ac:dyDescent="0.25">
      <c r="A9" s="1" t="s">
        <v>31</v>
      </c>
      <c r="B9">
        <v>5.24</v>
      </c>
      <c r="C9">
        <v>5.33</v>
      </c>
      <c r="D9">
        <v>5.23</v>
      </c>
      <c r="E9">
        <v>5.23</v>
      </c>
      <c r="F9">
        <v>5.01</v>
      </c>
      <c r="G9">
        <v>4.9000000000000004</v>
      </c>
      <c r="H9">
        <v>4.67</v>
      </c>
      <c r="I9">
        <v>4.53</v>
      </c>
    </row>
    <row r="10" spans="1:18" x14ac:dyDescent="0.25">
      <c r="A10" s="1" t="s">
        <v>32</v>
      </c>
      <c r="B10">
        <v>5.24</v>
      </c>
      <c r="C10">
        <v>5.18</v>
      </c>
      <c r="D10">
        <v>5.15</v>
      </c>
      <c r="E10">
        <v>4.91</v>
      </c>
      <c r="F10">
        <v>4.76</v>
      </c>
      <c r="G10">
        <v>4.46</v>
      </c>
      <c r="H10">
        <v>3.91</v>
      </c>
      <c r="I10">
        <v>0.68</v>
      </c>
    </row>
    <row r="11" spans="1:18" x14ac:dyDescent="0.25">
      <c r="A11" s="1" t="s">
        <v>33</v>
      </c>
      <c r="B11">
        <v>5.24</v>
      </c>
      <c r="C11">
        <v>5.24</v>
      </c>
      <c r="D11">
        <v>5.16</v>
      </c>
      <c r="E11">
        <v>5.15</v>
      </c>
      <c r="F11">
        <v>4.9800000000000004</v>
      </c>
      <c r="G11">
        <v>4.8099999999999996</v>
      </c>
      <c r="H11">
        <v>4.57</v>
      </c>
      <c r="I11">
        <v>3.74</v>
      </c>
    </row>
    <row r="14" spans="1:18" x14ac:dyDescent="0.25">
      <c r="A14" s="16" t="s">
        <v>44</v>
      </c>
      <c r="B14" s="1" t="s">
        <v>34</v>
      </c>
      <c r="C14" s="2">
        <v>0.3</v>
      </c>
      <c r="D14" s="2">
        <v>0.4</v>
      </c>
      <c r="E14" s="2">
        <v>0.5</v>
      </c>
      <c r="F14" s="2">
        <v>0.6</v>
      </c>
      <c r="G14" s="2">
        <v>0.7</v>
      </c>
      <c r="H14" s="2">
        <v>0.8</v>
      </c>
      <c r="I14" s="2">
        <v>0.9</v>
      </c>
      <c r="K14" s="15" t="s">
        <v>39</v>
      </c>
      <c r="L14" s="7">
        <v>0.3</v>
      </c>
      <c r="M14" s="7">
        <v>0.4</v>
      </c>
      <c r="N14" s="7">
        <v>0.5</v>
      </c>
      <c r="O14" s="7">
        <v>0.6</v>
      </c>
      <c r="P14" s="7">
        <v>0.7</v>
      </c>
      <c r="Q14" s="7">
        <v>0.8</v>
      </c>
      <c r="R14" s="7">
        <v>0.9</v>
      </c>
    </row>
    <row r="15" spans="1:18" x14ac:dyDescent="0.25">
      <c r="A15" s="17" t="s">
        <v>30</v>
      </c>
      <c r="B15" s="18">
        <v>5.2683419999999996</v>
      </c>
      <c r="C15" s="18">
        <v>5.2275549999999997</v>
      </c>
      <c r="D15" s="18">
        <v>5.210458</v>
      </c>
      <c r="E15" s="18">
        <v>5.1994170000000004</v>
      </c>
      <c r="F15" s="18">
        <v>5.1762300000000003</v>
      </c>
      <c r="G15" s="18">
        <v>5.1338670000000004</v>
      </c>
      <c r="H15" s="18">
        <v>5.0933159999999997</v>
      </c>
      <c r="I15" s="18">
        <v>5.0213270000000003</v>
      </c>
      <c r="K15" s="5" t="s">
        <v>30</v>
      </c>
      <c r="L15" s="19">
        <f>ABS(B15-B2)</f>
        <v>2.3395951074489219E-2</v>
      </c>
      <c r="M15" s="19">
        <f t="shared" ref="M15:R18" si="2">ABS(C15-C2)</f>
        <v>2.0884799590477066E-2</v>
      </c>
      <c r="N15" s="19">
        <f t="shared" si="2"/>
        <v>1.9116307304318347E-2</v>
      </c>
      <c r="O15" s="19">
        <f t="shared" si="2"/>
        <v>1.6304323551601385E-2</v>
      </c>
      <c r="P15" s="19">
        <f t="shared" si="2"/>
        <v>1.5571472399310338E-2</v>
      </c>
      <c r="Q15" s="19">
        <f t="shared" si="2"/>
        <v>1.5662081462560984E-2</v>
      </c>
      <c r="R15" s="19">
        <f t="shared" si="2"/>
        <v>1.5873326445200675E-2</v>
      </c>
    </row>
    <row r="16" spans="1:18" x14ac:dyDescent="0.25">
      <c r="A16" s="17" t="s">
        <v>31</v>
      </c>
      <c r="B16" s="18">
        <v>5.2683419999999996</v>
      </c>
      <c r="C16" s="18">
        <v>5.1916149999999996</v>
      </c>
      <c r="D16" s="18">
        <v>5.1536910000000002</v>
      </c>
      <c r="E16" s="18">
        <v>5.1020399999999997</v>
      </c>
      <c r="F16" s="18">
        <v>5.00915</v>
      </c>
      <c r="G16" s="18">
        <v>4.8443360000000002</v>
      </c>
      <c r="H16" s="18">
        <v>4.6597770000000001</v>
      </c>
      <c r="I16" s="18">
        <v>4.5305929999999996</v>
      </c>
      <c r="K16" s="5" t="s">
        <v>31</v>
      </c>
      <c r="L16" s="19">
        <f t="shared" ref="L16:L18" si="3">ABS(B16-B3)</f>
        <v>2.3395951074489219E-2</v>
      </c>
      <c r="M16" s="19">
        <f t="shared" si="2"/>
        <v>2.0300040794667851E-2</v>
      </c>
      <c r="N16" s="19">
        <f t="shared" si="2"/>
        <v>1.7974623054035632E-2</v>
      </c>
      <c r="O16" s="19">
        <f t="shared" si="2"/>
        <v>1.5399581708460452E-2</v>
      </c>
      <c r="P16" s="19">
        <f t="shared" si="2"/>
        <v>1.5370954230842671E-2</v>
      </c>
      <c r="Q16" s="19">
        <f t="shared" si="2"/>
        <v>1.5270310858014113E-2</v>
      </c>
      <c r="R16" s="19">
        <f t="shared" si="2"/>
        <v>1.5326725642911043E-2</v>
      </c>
    </row>
    <row r="17" spans="1:18" x14ac:dyDescent="0.25">
      <c r="A17" s="17" t="s">
        <v>32</v>
      </c>
      <c r="B17" s="18">
        <v>5.2683419999999996</v>
      </c>
      <c r="C17" s="18">
        <v>5.16629</v>
      </c>
      <c r="D17" s="18">
        <v>5.0844839999999998</v>
      </c>
      <c r="E17" s="18">
        <v>4.9104619999999999</v>
      </c>
      <c r="F17" s="18">
        <v>4.7020629999999999</v>
      </c>
      <c r="G17" s="18">
        <v>4.4339399999999998</v>
      </c>
      <c r="H17" s="18">
        <v>3.9119429999999999</v>
      </c>
      <c r="I17" s="18">
        <v>0.678315</v>
      </c>
      <c r="K17" s="5" t="s">
        <v>32</v>
      </c>
      <c r="L17" s="19">
        <f t="shared" si="3"/>
        <v>2.3395951074489219E-2</v>
      </c>
      <c r="M17" s="19">
        <f t="shared" si="2"/>
        <v>1.7919512757329059E-2</v>
      </c>
      <c r="N17" s="19">
        <f t="shared" si="2"/>
        <v>1.5931982269338008E-2</v>
      </c>
      <c r="O17" s="19">
        <f t="shared" si="2"/>
        <v>1.611278457026355E-2</v>
      </c>
      <c r="P17" s="19">
        <f t="shared" si="2"/>
        <v>1.6402751749373223E-2</v>
      </c>
      <c r="Q17" s="19">
        <f t="shared" si="2"/>
        <v>1.6228009719421621E-2</v>
      </c>
      <c r="R17" s="19">
        <f t="shared" si="2"/>
        <v>1.2343469520756045E-2</v>
      </c>
    </row>
    <row r="18" spans="1:18" x14ac:dyDescent="0.25">
      <c r="A18" s="17" t="s">
        <v>33</v>
      </c>
      <c r="B18" s="18">
        <v>5.2683419999999996</v>
      </c>
      <c r="C18" s="18">
        <v>5.1959809999999997</v>
      </c>
      <c r="D18" s="18">
        <v>5.139799</v>
      </c>
      <c r="E18" s="18">
        <v>5.0648739999999997</v>
      </c>
      <c r="F18" s="18">
        <v>4.9817349999999996</v>
      </c>
      <c r="G18" s="18">
        <v>4.8172889999999997</v>
      </c>
      <c r="H18" s="18">
        <v>4.5635890000000003</v>
      </c>
      <c r="I18" s="18">
        <v>3.736907</v>
      </c>
      <c r="K18" s="5" t="s">
        <v>33</v>
      </c>
      <c r="L18" s="19">
        <f t="shared" si="3"/>
        <v>2.3395951074489219E-2</v>
      </c>
      <c r="M18" s="19">
        <f t="shared" si="2"/>
        <v>2.1944929080706999E-2</v>
      </c>
      <c r="N18" s="19">
        <f t="shared" si="2"/>
        <v>2.0548422866995431E-2</v>
      </c>
      <c r="O18" s="19">
        <f t="shared" si="2"/>
        <v>1.8382466327865998E-2</v>
      </c>
      <c r="P18" s="19">
        <f t="shared" si="2"/>
        <v>1.5673640960219615E-2</v>
      </c>
      <c r="Q18" s="19">
        <f t="shared" si="2"/>
        <v>1.5327521934915822E-2</v>
      </c>
      <c r="R18" s="19">
        <f t="shared" si="2"/>
        <v>1.4103424263651299E-2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E32" sqref="E32"/>
    </sheetView>
  </sheetViews>
  <sheetFormatPr defaultRowHeight="15" x14ac:dyDescent="0.25"/>
  <cols>
    <col min="1" max="1" width="7.42578125" style="3" bestFit="1" customWidth="1"/>
    <col min="2" max="2" width="9.5703125" style="24" bestFit="1" customWidth="1"/>
    <col min="3" max="3" width="5.5703125" style="24" bestFit="1" customWidth="1"/>
    <col min="4" max="4" width="6.140625" style="24" bestFit="1" customWidth="1"/>
    <col min="5" max="5" width="11.42578125" style="24" bestFit="1" customWidth="1"/>
    <col min="6" max="6" width="8.140625" style="24" bestFit="1" customWidth="1"/>
    <col min="7" max="7" width="7.5703125" style="24" bestFit="1" customWidth="1"/>
    <col min="8" max="8" width="9.140625" style="3"/>
    <col min="9" max="9" width="13.5703125" style="3" bestFit="1" customWidth="1"/>
    <col min="10" max="10" width="9.5703125" style="3" bestFit="1" customWidth="1"/>
    <col min="11" max="11" width="5.5703125" style="3" bestFit="1" customWidth="1"/>
    <col min="12" max="12" width="6.140625" style="3" bestFit="1" customWidth="1"/>
    <col min="13" max="13" width="11.42578125" style="3" bestFit="1" customWidth="1"/>
    <col min="14" max="14" width="8.140625" style="3" bestFit="1" customWidth="1"/>
    <col min="15" max="15" width="7.5703125" style="3" bestFit="1" customWidth="1"/>
    <col min="16" max="16384" width="9.140625" style="3"/>
  </cols>
  <sheetData>
    <row r="1" spans="1:15" x14ac:dyDescent="0.25">
      <c r="A1" s="3" t="s">
        <v>50</v>
      </c>
      <c r="B1" s="22" t="s">
        <v>9</v>
      </c>
      <c r="C1" s="22" t="s">
        <v>30</v>
      </c>
      <c r="D1" s="22" t="s">
        <v>31</v>
      </c>
      <c r="E1" s="22" t="s">
        <v>45</v>
      </c>
      <c r="F1" s="22" t="s">
        <v>46</v>
      </c>
      <c r="G1" s="22" t="s">
        <v>49</v>
      </c>
      <c r="I1" s="3" t="s">
        <v>51</v>
      </c>
      <c r="J1" s="4" t="s">
        <v>9</v>
      </c>
      <c r="K1" s="4" t="s">
        <v>30</v>
      </c>
      <c r="L1" s="4" t="s">
        <v>31</v>
      </c>
      <c r="M1" s="4" t="s">
        <v>45</v>
      </c>
      <c r="N1" s="4" t="s">
        <v>46</v>
      </c>
      <c r="O1" s="4" t="s">
        <v>49</v>
      </c>
    </row>
    <row r="2" spans="1:15" x14ac:dyDescent="0.25">
      <c r="B2" s="23">
        <v>0</v>
      </c>
      <c r="C2" s="24">
        <v>0</v>
      </c>
      <c r="D2" s="24">
        <v>0</v>
      </c>
      <c r="E2" s="24">
        <v>0</v>
      </c>
      <c r="F2" s="24">
        <v>0</v>
      </c>
      <c r="G2" s="23">
        <v>2020</v>
      </c>
      <c r="J2" s="23">
        <v>0</v>
      </c>
      <c r="K2" s="3">
        <v>0</v>
      </c>
      <c r="L2" s="3">
        <v>0</v>
      </c>
      <c r="M2" s="3">
        <v>0</v>
      </c>
      <c r="N2" s="3">
        <v>0</v>
      </c>
      <c r="O2" s="23">
        <v>2020</v>
      </c>
    </row>
    <row r="3" spans="1:15" x14ac:dyDescent="0.25">
      <c r="A3" s="4">
        <v>0</v>
      </c>
      <c r="B3" s="24">
        <v>0.3</v>
      </c>
      <c r="C3" s="24">
        <v>5.3502278918888226</v>
      </c>
      <c r="D3" s="24">
        <v>6.5503079242831843</v>
      </c>
      <c r="E3" s="24">
        <v>11.205298658291159</v>
      </c>
      <c r="F3" s="24">
        <v>11.22108149455131</v>
      </c>
      <c r="G3" s="24">
        <v>2021</v>
      </c>
      <c r="I3" s="4">
        <v>0</v>
      </c>
      <c r="J3" s="3">
        <v>0.3</v>
      </c>
      <c r="K3" s="3">
        <v>7.0114717542467933</v>
      </c>
      <c r="L3" s="3">
        <v>8.7515267639144252</v>
      </c>
      <c r="M3" s="3">
        <v>16.66374187621167</v>
      </c>
      <c r="N3" s="3">
        <v>14.40664097455395</v>
      </c>
      <c r="O3" s="3">
        <v>2021</v>
      </c>
    </row>
    <row r="4" spans="1:15" x14ac:dyDescent="0.25">
      <c r="A4" s="4">
        <v>1</v>
      </c>
      <c r="B4" s="24">
        <v>0.34900000000000009</v>
      </c>
      <c r="C4" s="24">
        <v>6.4355194693514175</v>
      </c>
      <c r="D4" s="24">
        <v>7.9223081195129312</v>
      </c>
      <c r="E4" s="24">
        <v>14.068946876159661</v>
      </c>
      <c r="F4" s="24">
        <v>13.92370415357335</v>
      </c>
      <c r="G4" s="24">
        <v>2022</v>
      </c>
      <c r="I4" s="4">
        <v>1</v>
      </c>
      <c r="J4" s="3">
        <v>0.34900000000000009</v>
      </c>
      <c r="K4" s="3">
        <v>8.6203447230299428</v>
      </c>
      <c r="L4" s="3">
        <v>10.819083370113699</v>
      </c>
      <c r="M4" s="3">
        <v>22.464812197182439</v>
      </c>
      <c r="N4" s="3">
        <v>18.43288119911535</v>
      </c>
      <c r="O4" s="3">
        <v>2022</v>
      </c>
    </row>
    <row r="5" spans="1:15" x14ac:dyDescent="0.25">
      <c r="A5" s="4">
        <v>2</v>
      </c>
      <c r="B5" s="24">
        <v>0.39457000000000009</v>
      </c>
      <c r="C5" s="24">
        <v>7.5318817981633108</v>
      </c>
      <c r="D5" s="24">
        <v>9.31865607914078</v>
      </c>
      <c r="E5" s="24">
        <v>17.155944955574888</v>
      </c>
      <c r="F5" s="24">
        <v>16.66984010143322</v>
      </c>
      <c r="G5" s="24">
        <v>2023</v>
      </c>
      <c r="I5" s="4">
        <v>2</v>
      </c>
      <c r="J5" s="3">
        <v>0.39457000000000009</v>
      </c>
      <c r="K5" s="3">
        <v>10.300114179726981</v>
      </c>
      <c r="L5" s="3">
        <v>13.018606733201191</v>
      </c>
      <c r="M5" s="3">
        <v>30.581706445777538</v>
      </c>
      <c r="N5" s="3">
        <v>22.692553284844461</v>
      </c>
      <c r="O5" s="3">
        <v>2023</v>
      </c>
    </row>
    <row r="6" spans="1:15" x14ac:dyDescent="0.25">
      <c r="A6" s="4">
        <v>3</v>
      </c>
      <c r="B6" s="24">
        <v>0.43695010000000012</v>
      </c>
      <c r="C6" s="24">
        <v>8.6385152279036053</v>
      </c>
      <c r="D6" s="24">
        <v>10.736285576586742</v>
      </c>
      <c r="E6" s="24">
        <v>20.462524974724442</v>
      </c>
      <c r="F6" s="24">
        <v>19.425797357334051</v>
      </c>
      <c r="G6" s="24">
        <v>2024</v>
      </c>
      <c r="I6" s="4">
        <v>3</v>
      </c>
      <c r="J6" s="3">
        <v>0.43695010000000012</v>
      </c>
      <c r="K6" s="3">
        <v>12.040692497290719</v>
      </c>
      <c r="L6" s="3">
        <v>15.340359489518081</v>
      </c>
      <c r="M6" s="3">
        <v>42.350269221002542</v>
      </c>
      <c r="N6" s="3">
        <v>27.201704558027082</v>
      </c>
      <c r="O6" s="3">
        <v>2024</v>
      </c>
    </row>
    <row r="7" spans="1:15" x14ac:dyDescent="0.25">
      <c r="A7" s="4">
        <v>4</v>
      </c>
      <c r="B7" s="24">
        <v>0.4763635930000002</v>
      </c>
      <c r="C7" s="24">
        <v>9.7628511424281594</v>
      </c>
      <c r="D7" s="24">
        <v>12.162611033777001</v>
      </c>
      <c r="E7" s="24">
        <v>24.024934726353361</v>
      </c>
      <c r="F7" s="24">
        <v>22.183491592812143</v>
      </c>
      <c r="G7" s="24">
        <v>2025</v>
      </c>
      <c r="I7" s="4">
        <v>4</v>
      </c>
      <c r="J7" s="3">
        <v>0.4763635930000002</v>
      </c>
      <c r="K7" s="3">
        <v>13.85981420017548</v>
      </c>
      <c r="L7" s="3">
        <v>17.912778313724111</v>
      </c>
      <c r="M7" s="3">
        <v>60.714490431820529</v>
      </c>
      <c r="N7" s="3">
        <v>32.42204869564906</v>
      </c>
      <c r="O7" s="3">
        <v>2025</v>
      </c>
    </row>
    <row r="8" spans="1:15" x14ac:dyDescent="0.25">
      <c r="A8" s="4">
        <v>5</v>
      </c>
      <c r="B8" s="24">
        <v>0.51301814149000013</v>
      </c>
      <c r="C8" s="24">
        <v>10.88462743618037</v>
      </c>
      <c r="D8" s="24">
        <v>13.60906460933521</v>
      </c>
      <c r="E8" s="24">
        <v>27.901352369568432</v>
      </c>
      <c r="F8" s="24">
        <v>24.923945498354868</v>
      </c>
      <c r="G8" s="24">
        <v>2026</v>
      </c>
      <c r="I8" s="4">
        <v>5</v>
      </c>
      <c r="J8" s="3">
        <v>0.51301814149000013</v>
      </c>
      <c r="K8" s="3">
        <v>15.90613166827201</v>
      </c>
      <c r="L8" s="3">
        <v>20.843285188796671</v>
      </c>
      <c r="M8" s="3">
        <v>123.3337762713014</v>
      </c>
      <c r="N8" s="3">
        <v>38.690334779329547</v>
      </c>
      <c r="O8" s="3">
        <v>2026</v>
      </c>
    </row>
    <row r="9" spans="1:15" x14ac:dyDescent="0.25">
      <c r="A9" s="4">
        <v>6</v>
      </c>
      <c r="B9" s="24">
        <v>0.54710687158570015</v>
      </c>
      <c r="C9" s="24">
        <v>11.99464797290937</v>
      </c>
      <c r="D9" s="24">
        <v>15.09360200562514</v>
      </c>
      <c r="E9" s="24">
        <v>32.158145185279949</v>
      </c>
      <c r="F9" s="24">
        <v>27.657604272958899</v>
      </c>
      <c r="G9" s="24">
        <v>2027</v>
      </c>
      <c r="I9" s="4">
        <v>6</v>
      </c>
      <c r="J9" s="3">
        <v>0.54710687158570015</v>
      </c>
      <c r="K9" s="3">
        <v>18.25546868696274</v>
      </c>
      <c r="L9" s="3">
        <v>24.44803039518764</v>
      </c>
      <c r="N9" s="3">
        <v>46.33581728669752</v>
      </c>
      <c r="O9" s="3">
        <v>2027</v>
      </c>
    </row>
    <row r="10" spans="1:15" x14ac:dyDescent="0.25">
      <c r="A10" s="4">
        <v>7</v>
      </c>
      <c r="B10" s="24">
        <v>0.57880939057470115</v>
      </c>
      <c r="C10" s="24">
        <v>13.130682038583899</v>
      </c>
      <c r="D10" s="24">
        <v>16.604142714925359</v>
      </c>
      <c r="E10" s="24">
        <v>36.681296390886473</v>
      </c>
      <c r="F10" s="24">
        <v>30.353759228526823</v>
      </c>
      <c r="G10" s="24">
        <v>2028</v>
      </c>
      <c r="I10" s="4">
        <v>7</v>
      </c>
      <c r="J10" s="3">
        <v>0.57880939057470115</v>
      </c>
      <c r="K10" s="3">
        <v>20.953313922470411</v>
      </c>
      <c r="L10" s="3">
        <v>29.301064916269741</v>
      </c>
      <c r="N10" s="3">
        <v>56.768515874189866</v>
      </c>
      <c r="O10" s="3">
        <v>2028</v>
      </c>
    </row>
    <row r="11" spans="1:15" x14ac:dyDescent="0.25">
      <c r="A11" s="4">
        <v>8</v>
      </c>
      <c r="B11" s="24">
        <v>0.60829273323447219</v>
      </c>
      <c r="C11" s="24">
        <v>14.29340483934333</v>
      </c>
      <c r="D11" s="24">
        <v>18.1568887332778</v>
      </c>
      <c r="E11" s="24">
        <v>41.439341723204947</v>
      </c>
      <c r="F11" s="24">
        <v>33.022391323125113</v>
      </c>
      <c r="G11" s="24">
        <v>2029</v>
      </c>
      <c r="I11" s="4">
        <v>8</v>
      </c>
      <c r="J11" s="3">
        <v>0.60829273323447219</v>
      </c>
      <c r="K11" s="3">
        <v>24.078527431795749</v>
      </c>
      <c r="L11" s="3">
        <v>36.481325697496622</v>
      </c>
      <c r="N11" s="3">
        <v>72.270193536612993</v>
      </c>
      <c r="O11" s="3">
        <v>2029</v>
      </c>
    </row>
    <row r="12" spans="1:15" x14ac:dyDescent="0.25">
      <c r="A12" s="4">
        <v>9</v>
      </c>
      <c r="B12" s="24">
        <v>0.63571224190805919</v>
      </c>
      <c r="C12" s="24">
        <v>15.489135378221208</v>
      </c>
      <c r="D12" s="24">
        <v>19.759860345914138</v>
      </c>
      <c r="E12" s="24">
        <v>46.447124574407241</v>
      </c>
      <c r="F12" s="24">
        <v>35.724256052328975</v>
      </c>
      <c r="G12" s="24">
        <v>2030</v>
      </c>
      <c r="I12" s="4">
        <v>9</v>
      </c>
      <c r="J12" s="3">
        <v>0.63571224190805919</v>
      </c>
      <c r="K12" s="3">
        <v>27.97608129628702</v>
      </c>
      <c r="L12" s="3">
        <v>48.108326952955679</v>
      </c>
      <c r="N12" s="3">
        <v>128.51401146259809</v>
      </c>
      <c r="O12" s="3">
        <v>2030</v>
      </c>
    </row>
    <row r="13" spans="1:15" x14ac:dyDescent="0.25">
      <c r="A13" s="4">
        <v>10</v>
      </c>
      <c r="B13" s="24">
        <v>0.66121238497449508</v>
      </c>
      <c r="C13" s="24">
        <v>16.738289297216461</v>
      </c>
      <c r="D13" s="24">
        <v>21.421444195780069</v>
      </c>
      <c r="E13" s="24">
        <v>51.626128689820455</v>
      </c>
      <c r="F13" s="24">
        <v>38.463802764707651</v>
      </c>
      <c r="G13" s="24">
        <v>2031</v>
      </c>
      <c r="I13" s="4">
        <v>10</v>
      </c>
      <c r="J13" s="3">
        <v>0.66121238497449508</v>
      </c>
      <c r="K13" s="3">
        <v>33.593568350135243</v>
      </c>
      <c r="L13" s="3">
        <v>83.736619830660359</v>
      </c>
      <c r="O13" s="3">
        <v>2031</v>
      </c>
    </row>
    <row r="14" spans="1:15" x14ac:dyDescent="0.25">
      <c r="A14" s="4">
        <v>11</v>
      </c>
      <c r="B14" s="24">
        <v>0.68492751802628038</v>
      </c>
      <c r="C14" s="24">
        <v>18.01891011565203</v>
      </c>
      <c r="D14" s="24">
        <v>23.221512173660543</v>
      </c>
      <c r="E14" s="24">
        <v>56.990141803730651</v>
      </c>
      <c r="F14" s="24">
        <v>41.223677675999497</v>
      </c>
      <c r="G14" s="24">
        <v>2032</v>
      </c>
      <c r="I14" s="4">
        <v>11</v>
      </c>
      <c r="J14" s="3">
        <v>0.68492751802628038</v>
      </c>
      <c r="K14" s="3">
        <v>42.072259494420614</v>
      </c>
      <c r="O14" s="3">
        <v>2032</v>
      </c>
    </row>
    <row r="15" spans="1:15" x14ac:dyDescent="0.25">
      <c r="A15" s="4">
        <v>12</v>
      </c>
      <c r="B15" s="24">
        <v>0.70698259176444078</v>
      </c>
      <c r="C15" s="24">
        <v>19.321250666888091</v>
      </c>
      <c r="D15" s="24">
        <v>25.16813803584478</v>
      </c>
      <c r="E15" s="24">
        <v>62.475232500700933</v>
      </c>
      <c r="F15" s="24">
        <v>44.003364700824335</v>
      </c>
      <c r="G15" s="24">
        <v>2033</v>
      </c>
      <c r="I15" s="4">
        <v>12</v>
      </c>
      <c r="J15" s="3">
        <v>0.70698259176444078</v>
      </c>
      <c r="K15" s="3">
        <v>62.979614380491988</v>
      </c>
      <c r="O15" s="3">
        <v>2033</v>
      </c>
    </row>
    <row r="16" spans="1:15" x14ac:dyDescent="0.25">
      <c r="A16" s="4">
        <v>13</v>
      </c>
      <c r="B16" s="24">
        <v>0.72749381034092997</v>
      </c>
      <c r="C16" s="24">
        <v>20.689362081831462</v>
      </c>
      <c r="D16" s="24">
        <v>27.225349964552979</v>
      </c>
      <c r="E16" s="24">
        <v>67.993940807532894</v>
      </c>
      <c r="F16" s="24">
        <v>46.786742033109689</v>
      </c>
      <c r="G16" s="24">
        <v>2034</v>
      </c>
      <c r="I16" s="4">
        <v>13</v>
      </c>
      <c r="J16" s="3">
        <v>0.72749381034092997</v>
      </c>
      <c r="O16" s="3">
        <v>2034</v>
      </c>
    </row>
    <row r="17" spans="1:15" x14ac:dyDescent="0.25">
      <c r="A17" s="4">
        <v>14</v>
      </c>
      <c r="B17" s="24">
        <v>0.74656924361706489</v>
      </c>
      <c r="C17" s="24">
        <v>22.119815813564792</v>
      </c>
      <c r="D17" s="24">
        <v>29.38573824121384</v>
      </c>
      <c r="E17" s="24">
        <v>73.534736397929407</v>
      </c>
      <c r="F17" s="24">
        <v>49.560946754456083</v>
      </c>
      <c r="G17" s="24">
        <v>2035</v>
      </c>
      <c r="I17" s="4">
        <v>14</v>
      </c>
      <c r="J17" s="3">
        <v>0.74656924361706489</v>
      </c>
      <c r="O17" s="3">
        <v>2035</v>
      </c>
    </row>
    <row r="18" spans="1:15" x14ac:dyDescent="0.25">
      <c r="A18" s="4">
        <v>15</v>
      </c>
      <c r="B18" s="24">
        <v>0.76430939656387031</v>
      </c>
      <c r="C18" s="24">
        <v>23.604434133415861</v>
      </c>
      <c r="D18" s="24">
        <v>31.660958275149241</v>
      </c>
      <c r="E18" s="24">
        <v>79.173823825373532</v>
      </c>
      <c r="F18" s="24">
        <v>52.301595925081905</v>
      </c>
      <c r="G18" s="24">
        <v>2036</v>
      </c>
      <c r="I18" s="4">
        <v>15</v>
      </c>
      <c r="J18" s="3">
        <v>0.76430939656387031</v>
      </c>
      <c r="O18" s="3">
        <v>2036</v>
      </c>
    </row>
    <row r="19" spans="1:15" x14ac:dyDescent="0.25">
      <c r="A19" s="4">
        <v>16</v>
      </c>
      <c r="B19" s="24">
        <v>0.78080773880439946</v>
      </c>
      <c r="C19" s="24">
        <v>25.123136433269931</v>
      </c>
      <c r="D19" s="24">
        <v>34.060759861358861</v>
      </c>
      <c r="E19" s="24">
        <v>85.349059800039299</v>
      </c>
      <c r="F19" s="24">
        <v>55.005011382718727</v>
      </c>
      <c r="G19" s="24">
        <v>2037</v>
      </c>
      <c r="I19" s="4">
        <v>16</v>
      </c>
      <c r="J19" s="3">
        <v>0.78080773880439946</v>
      </c>
      <c r="O19" s="3">
        <v>2037</v>
      </c>
    </row>
    <row r="20" spans="1:15" x14ac:dyDescent="0.25">
      <c r="A20" s="4">
        <v>17</v>
      </c>
      <c r="B20" s="24">
        <v>0.79615119708809146</v>
      </c>
      <c r="C20" s="24">
        <v>26.692964863802501</v>
      </c>
      <c r="D20" s="24">
        <v>36.605320629035347</v>
      </c>
      <c r="E20" s="24">
        <v>92.452347212840337</v>
      </c>
      <c r="F20" s="24">
        <v>57.763811605162019</v>
      </c>
      <c r="G20" s="24">
        <v>2038</v>
      </c>
      <c r="I20" s="4">
        <v>17</v>
      </c>
      <c r="J20" s="3">
        <v>0.79615119708809146</v>
      </c>
      <c r="O20" s="3">
        <v>2038</v>
      </c>
    </row>
    <row r="21" spans="1:15" x14ac:dyDescent="0.25">
      <c r="A21" s="4">
        <v>18</v>
      </c>
      <c r="B21" s="24">
        <v>0.81042061329192516</v>
      </c>
      <c r="C21" s="24">
        <v>28.308041083713398</v>
      </c>
      <c r="D21" s="24">
        <v>39.261655794825735</v>
      </c>
      <c r="E21" s="24">
        <v>100.59922009785701</v>
      </c>
      <c r="F21" s="24">
        <v>60.666115541623569</v>
      </c>
      <c r="G21" s="24">
        <v>2039</v>
      </c>
      <c r="I21" s="4">
        <v>18</v>
      </c>
      <c r="J21" s="3">
        <v>0.81042061329192516</v>
      </c>
      <c r="O21" s="3">
        <v>2039</v>
      </c>
    </row>
    <row r="22" spans="1:15" x14ac:dyDescent="0.25">
      <c r="A22" s="4">
        <v>19</v>
      </c>
      <c r="B22" s="24">
        <v>0.82369117036149031</v>
      </c>
      <c r="C22" s="24">
        <v>29.971444856719522</v>
      </c>
      <c r="D22" s="24">
        <v>41.990504940725067</v>
      </c>
      <c r="E22" s="24">
        <v>110.0174008987601</v>
      </c>
      <c r="F22" s="24">
        <v>63.732376902635011</v>
      </c>
      <c r="G22" s="24">
        <v>2040</v>
      </c>
      <c r="I22" s="4">
        <v>19</v>
      </c>
      <c r="J22" s="3">
        <v>0.82369117036149031</v>
      </c>
      <c r="O22" s="3">
        <v>2040</v>
      </c>
    </row>
    <row r="23" spans="1:15" x14ac:dyDescent="0.25">
      <c r="A23" s="4">
        <v>20</v>
      </c>
      <c r="B23" s="24">
        <v>0.836032788436186</v>
      </c>
      <c r="C23" s="24">
        <v>31.685270414272491</v>
      </c>
      <c r="D23" s="24">
        <v>44.775338791915736</v>
      </c>
      <c r="E23" s="24">
        <v>120.83172547719319</v>
      </c>
      <c r="F23" s="24">
        <v>66.902047142834306</v>
      </c>
      <c r="G23" s="24">
        <v>2041</v>
      </c>
      <c r="I23" s="4">
        <v>20</v>
      </c>
      <c r="J23" s="3">
        <v>0.836032788436186</v>
      </c>
      <c r="O23" s="3">
        <v>2041</v>
      </c>
    </row>
    <row r="24" spans="1:15" x14ac:dyDescent="0.25">
      <c r="A24" s="4">
        <v>21</v>
      </c>
      <c r="B24" s="24">
        <v>0.84751049324565297</v>
      </c>
      <c r="C24" s="24">
        <v>33.431216784781341</v>
      </c>
      <c r="D24" s="24">
        <v>47.610269750833609</v>
      </c>
      <c r="E24" s="24">
        <v>132.8629517231723</v>
      </c>
      <c r="F24" s="24">
        <v>70.142939144991416</v>
      </c>
      <c r="G24" s="24">
        <v>2042</v>
      </c>
      <c r="I24" s="4">
        <v>21</v>
      </c>
      <c r="J24" s="3">
        <v>0.84751049324565297</v>
      </c>
      <c r="O24" s="3">
        <v>2042</v>
      </c>
    </row>
    <row r="25" spans="1:15" x14ac:dyDescent="0.25">
      <c r="A25" s="4">
        <v>22</v>
      </c>
      <c r="B25" s="24">
        <v>0.85818475871845734</v>
      </c>
      <c r="C25" s="24">
        <v>35.183200028924517</v>
      </c>
      <c r="D25" s="24">
        <v>50.454662629463002</v>
      </c>
      <c r="E25" s="24">
        <v>146.2104314999907</v>
      </c>
      <c r="F25" s="24">
        <v>73.505650277344657</v>
      </c>
      <c r="G25" s="24">
        <v>2043</v>
      </c>
      <c r="I25" s="4">
        <v>22</v>
      </c>
      <c r="J25" s="3">
        <v>0.85818475871845734</v>
      </c>
      <c r="O25" s="3">
        <v>2043</v>
      </c>
    </row>
    <row r="26" spans="1:15" x14ac:dyDescent="0.25">
      <c r="A26" s="4">
        <v>23</v>
      </c>
      <c r="B26" s="24">
        <v>0.86811182560816536</v>
      </c>
      <c r="C26" s="24">
        <v>36.927550496193788</v>
      </c>
      <c r="D26" s="24">
        <v>53.288911823010551</v>
      </c>
      <c r="E26" s="24">
        <v>161.54556977155841</v>
      </c>
      <c r="F26" s="24">
        <v>77.103909992086244</v>
      </c>
      <c r="G26" s="24">
        <v>2044</v>
      </c>
      <c r="I26" s="4">
        <v>23</v>
      </c>
      <c r="J26" s="3">
        <v>0.86811182560816536</v>
      </c>
      <c r="O26" s="3">
        <v>2044</v>
      </c>
    </row>
    <row r="27" spans="1:15" x14ac:dyDescent="0.25">
      <c r="A27" s="4">
        <v>24</v>
      </c>
      <c r="B27" s="24">
        <v>0.8773439978155938</v>
      </c>
      <c r="C27" s="24">
        <v>38.64542699851112</v>
      </c>
      <c r="D27" s="24">
        <v>56.085326359564796</v>
      </c>
      <c r="E27" s="24">
        <v>179.95653589551151</v>
      </c>
      <c r="F27" s="24">
        <v>81.042418637385495</v>
      </c>
      <c r="G27" s="24">
        <v>2045</v>
      </c>
      <c r="I27" s="4">
        <v>24</v>
      </c>
      <c r="J27" s="3">
        <v>0.8773439978155938</v>
      </c>
      <c r="O27" s="3">
        <v>2045</v>
      </c>
    </row>
    <row r="28" spans="1:15" x14ac:dyDescent="0.25">
      <c r="A28" s="4">
        <v>25</v>
      </c>
      <c r="B28" s="24">
        <v>0.88592991796850218</v>
      </c>
      <c r="C28" s="24">
        <v>40.333727106615974</v>
      </c>
      <c r="D28" s="24">
        <v>58.839935013525384</v>
      </c>
      <c r="E28" s="24">
        <v>200.8545118732068</v>
      </c>
      <c r="F28" s="24">
        <v>85.414839134456358</v>
      </c>
      <c r="G28" s="24">
        <v>2046</v>
      </c>
      <c r="I28" s="4">
        <v>25</v>
      </c>
      <c r="J28" s="3">
        <v>0.88592991796850218</v>
      </c>
      <c r="O28" s="3">
        <v>2046</v>
      </c>
    </row>
    <row r="29" spans="1:15" x14ac:dyDescent="0.25">
      <c r="A29" s="4">
        <v>26</v>
      </c>
      <c r="B29" s="24">
        <v>0.89391482371070707</v>
      </c>
      <c r="C29" s="24">
        <v>42.009755516566493</v>
      </c>
      <c r="D29" s="24">
        <v>61.605057403522054</v>
      </c>
      <c r="E29" s="24">
        <v>223.43051203774559</v>
      </c>
      <c r="F29" s="24">
        <v>90.354503004100138</v>
      </c>
      <c r="G29" s="24">
        <v>2047</v>
      </c>
      <c r="I29" s="4">
        <v>26</v>
      </c>
      <c r="J29" s="3">
        <v>0.89391482371070707</v>
      </c>
      <c r="O29" s="3">
        <v>2047</v>
      </c>
    </row>
    <row r="30" spans="1:15" x14ac:dyDescent="0.25">
      <c r="A30" s="4">
        <v>27</v>
      </c>
      <c r="B30" s="24">
        <v>0.90134078605095758</v>
      </c>
      <c r="C30" s="24">
        <v>43.659965517456953</v>
      </c>
      <c r="D30" s="24">
        <v>64.42104097743794</v>
      </c>
      <c r="E30" s="24">
        <v>249.14915833073428</v>
      </c>
      <c r="F30" s="24">
        <v>96.140540413731884</v>
      </c>
      <c r="G30" s="24">
        <v>2048</v>
      </c>
      <c r="I30" s="4">
        <v>27</v>
      </c>
      <c r="J30" s="3">
        <v>0.90134078605095758</v>
      </c>
      <c r="O30" s="3">
        <v>2048</v>
      </c>
    </row>
    <row r="31" spans="1:15" x14ac:dyDescent="0.25">
      <c r="A31" s="4">
        <v>28</v>
      </c>
      <c r="B31" s="24">
        <v>0.90824693102739051</v>
      </c>
      <c r="C31" s="24">
        <v>45.270650094501256</v>
      </c>
      <c r="D31" s="24">
        <v>67.564760598595413</v>
      </c>
      <c r="E31" s="24">
        <v>279.5241952108662</v>
      </c>
      <c r="F31" s="24">
        <v>102.7715556149909</v>
      </c>
      <c r="G31" s="24">
        <v>2049</v>
      </c>
      <c r="I31" s="4">
        <v>28</v>
      </c>
      <c r="J31" s="3">
        <v>0.90824693102739051</v>
      </c>
      <c r="O31" s="3">
        <v>2049</v>
      </c>
    </row>
    <row r="32" spans="1:15" x14ac:dyDescent="0.25">
      <c r="A32" s="4">
        <v>29</v>
      </c>
      <c r="B32" s="24">
        <v>0.91466964585547317</v>
      </c>
      <c r="C32" s="24">
        <v>46.842509713545574</v>
      </c>
      <c r="D32" s="24">
        <v>71.118893402087949</v>
      </c>
      <c r="E32" s="24">
        <v>332.69582418263002</v>
      </c>
      <c r="F32" s="24">
        <v>110.12061004510221</v>
      </c>
      <c r="G32" s="24">
        <v>2050</v>
      </c>
      <c r="I32" s="4">
        <v>29</v>
      </c>
      <c r="J32" s="3">
        <v>0.91466964585547317</v>
      </c>
      <c r="O32" s="3">
        <v>2050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R10" sqref="R9:R10"/>
    </sheetView>
  </sheetViews>
  <sheetFormatPr defaultRowHeight="15" x14ac:dyDescent="0.25"/>
  <cols>
    <col min="1" max="1" width="7.7109375" style="3" bestFit="1" customWidth="1"/>
    <col min="2" max="2" width="9.5703125" style="3" bestFit="1" customWidth="1"/>
    <col min="3" max="3" width="5.5703125" style="3" bestFit="1" customWidth="1"/>
    <col min="4" max="4" width="6.140625" style="3" bestFit="1" customWidth="1"/>
    <col min="5" max="5" width="11.42578125" style="3" bestFit="1" customWidth="1"/>
    <col min="6" max="6" width="8.140625" style="3" bestFit="1" customWidth="1"/>
    <col min="7" max="7" width="7.5703125" style="3" bestFit="1" customWidth="1"/>
    <col min="8" max="8" width="9.140625" style="3"/>
    <col min="9" max="9" width="13.85546875" style="3" bestFit="1" customWidth="1"/>
    <col min="10" max="10" width="9.5703125" style="3" bestFit="1" customWidth="1"/>
    <col min="11" max="11" width="5.5703125" style="3" bestFit="1" customWidth="1"/>
    <col min="12" max="12" width="6.140625" style="3" bestFit="1" customWidth="1"/>
    <col min="13" max="13" width="11.42578125" style="3" bestFit="1" customWidth="1"/>
    <col min="14" max="14" width="8.140625" style="3" bestFit="1" customWidth="1"/>
    <col min="15" max="15" width="7.5703125" style="3" bestFit="1" customWidth="1"/>
  </cols>
  <sheetData>
    <row r="1" spans="1:15" x14ac:dyDescent="0.25">
      <c r="A1" s="3" t="s">
        <v>52</v>
      </c>
      <c r="B1" s="4" t="s">
        <v>9</v>
      </c>
      <c r="C1" s="4" t="s">
        <v>30</v>
      </c>
      <c r="D1" s="4" t="s">
        <v>31</v>
      </c>
      <c r="E1" s="4" t="s">
        <v>45</v>
      </c>
      <c r="F1" s="4" t="s">
        <v>46</v>
      </c>
      <c r="G1" s="4" t="s">
        <v>49</v>
      </c>
      <c r="I1" s="25" t="s">
        <v>53</v>
      </c>
      <c r="J1" s="4" t="s">
        <v>9</v>
      </c>
      <c r="K1" s="4" t="s">
        <v>30</v>
      </c>
      <c r="L1" s="4" t="s">
        <v>31</v>
      </c>
      <c r="M1" s="4" t="s">
        <v>45</v>
      </c>
      <c r="N1" s="4" t="s">
        <v>46</v>
      </c>
      <c r="O1" s="4" t="s">
        <v>49</v>
      </c>
    </row>
    <row r="2" spans="1:15" s="3" customFormat="1" x14ac:dyDescent="0.25">
      <c r="B2" s="23">
        <v>0</v>
      </c>
      <c r="C2" s="24">
        <v>0</v>
      </c>
      <c r="D2" s="24">
        <v>0</v>
      </c>
      <c r="E2" s="24">
        <v>0</v>
      </c>
      <c r="F2" s="24">
        <v>0</v>
      </c>
      <c r="G2" s="23">
        <v>2020</v>
      </c>
      <c r="J2" s="23">
        <v>0</v>
      </c>
      <c r="K2" s="3">
        <v>0</v>
      </c>
      <c r="L2" s="3">
        <v>0</v>
      </c>
      <c r="M2" s="3">
        <v>0</v>
      </c>
      <c r="N2" s="3">
        <v>0</v>
      </c>
      <c r="O2" s="23">
        <v>2020</v>
      </c>
    </row>
    <row r="3" spans="1:15" x14ac:dyDescent="0.25">
      <c r="A3" s="4">
        <v>0</v>
      </c>
      <c r="B3" s="3">
        <v>0.5</v>
      </c>
      <c r="C3" s="3">
        <f>[1]SC1!C2*10000</f>
        <v>10.478735307920818</v>
      </c>
      <c r="D3" s="3">
        <f>[1]SC1!D2*10000</f>
        <v>13.07683272289133</v>
      </c>
      <c r="E3" s="3">
        <f>[1]SC1!E2*10000</f>
        <v>26.443570025185668</v>
      </c>
      <c r="F3" s="3">
        <f>[1]SC1!F2*10000</f>
        <v>23.930205528936789</v>
      </c>
      <c r="G3" s="3">
        <v>2021</v>
      </c>
      <c r="I3" s="4">
        <v>0</v>
      </c>
      <c r="J3" s="3">
        <v>0.5</v>
      </c>
      <c r="K3" s="3">
        <f>[2]SC1!C2* 10000</f>
        <v>15.131247468785281</v>
      </c>
      <c r="L3" s="3">
        <f>[2]SC1!D2* 10000</f>
        <v>19.719597353166151</v>
      </c>
      <c r="M3" s="3">
        <f>[2]SC1!E2* 10000</f>
        <v>84.960063694630662</v>
      </c>
      <c r="N3" s="3">
        <f>[2]SC1!F2* 10000</f>
        <v>36.26799579688371</v>
      </c>
      <c r="O3" s="3">
        <v>2021</v>
      </c>
    </row>
    <row r="4" spans="1:15" x14ac:dyDescent="0.25">
      <c r="A4" s="4">
        <v>1</v>
      </c>
      <c r="B4" s="3">
        <v>0.53500000000000003</v>
      </c>
      <c r="C4" s="3">
        <f>[1]SC1!C3*10000</f>
        <v>11.588791367896981</v>
      </c>
      <c r="D4" s="3">
        <f>[1]SC1!D3*10000</f>
        <v>14.55135316478505</v>
      </c>
      <c r="E4" s="3">
        <f>[1]SC1!E3*10000</f>
        <v>30.575271135800453</v>
      </c>
      <c r="F4" s="3">
        <f>[1]SC1!F3*10000</f>
        <v>26.665367998353041</v>
      </c>
      <c r="G4" s="3">
        <v>2022</v>
      </c>
      <c r="I4" s="4">
        <v>1</v>
      </c>
      <c r="J4" s="3">
        <v>0.53500000000000003</v>
      </c>
      <c r="K4" s="3">
        <f>[2]SC1!C3* 10000</f>
        <v>17.359295203026129</v>
      </c>
      <c r="L4" s="3">
        <f>[2]SC1!D3* 10000</f>
        <v>23.03819554915874</v>
      </c>
      <c r="N4" s="3">
        <f>[2]SC1!F3* 10000</f>
        <v>43.359438471362267</v>
      </c>
      <c r="O4" s="3">
        <v>2022</v>
      </c>
    </row>
    <row r="5" spans="1:15" x14ac:dyDescent="0.25">
      <c r="A5" s="4">
        <v>2</v>
      </c>
      <c r="B5" s="3">
        <v>0.56755</v>
      </c>
      <c r="C5" s="3">
        <f>[1]SC1!C4*10000</f>
        <v>12.714879287910659</v>
      </c>
      <c r="D5" s="3">
        <f>[1]SC1!D4*10000</f>
        <v>16.05207728605528</v>
      </c>
      <c r="E5" s="3">
        <f>[1]SC1!E4*10000</f>
        <v>35.010549065875587</v>
      </c>
      <c r="F5" s="3">
        <f>[1]SC1!F4*10000</f>
        <v>29.38078913870195</v>
      </c>
      <c r="G5" s="3">
        <v>2023</v>
      </c>
      <c r="I5" s="4">
        <v>2</v>
      </c>
      <c r="J5" s="3">
        <v>0.56755</v>
      </c>
      <c r="K5" s="3">
        <f>[2]SC1!C4* 10000</f>
        <v>19.934093624832588</v>
      </c>
      <c r="L5" s="3">
        <f>[2]SC1!D4* 10000</f>
        <v>27.310507741127868</v>
      </c>
      <c r="N5" s="3">
        <f>[2]SC1!F4* 10000</f>
        <v>52.498405982714125</v>
      </c>
      <c r="O5" s="3">
        <v>2023</v>
      </c>
    </row>
    <row r="6" spans="1:15" x14ac:dyDescent="0.25">
      <c r="A6" s="4">
        <v>3</v>
      </c>
      <c r="B6" s="3">
        <v>0.59782150000000001</v>
      </c>
      <c r="C6" s="3">
        <f>[1]SC1!C5*10000</f>
        <v>13.866741934571341</v>
      </c>
      <c r="D6" s="3">
        <f>[1]SC1!D5*10000</f>
        <v>17.5846950595657</v>
      </c>
      <c r="E6" s="3">
        <f>[1]SC1!E5*10000</f>
        <v>39.679709711410155</v>
      </c>
      <c r="F6" s="3">
        <f>[1]SC1!F5*10000</f>
        <v>32.049770370365373</v>
      </c>
      <c r="G6" s="3">
        <v>2024</v>
      </c>
      <c r="I6" s="4">
        <v>3</v>
      </c>
      <c r="J6" s="3">
        <v>0.59782150000000001</v>
      </c>
      <c r="K6" s="3">
        <f>[2]SC1!C5* 10000</f>
        <v>22.875512928892498</v>
      </c>
      <c r="L6" s="3">
        <f>[2]SC1!D5* 10000</f>
        <v>33.575624329657472</v>
      </c>
      <c r="N6" s="3">
        <f>[2]SC1!F5* 10000</f>
        <v>65.85358312468199</v>
      </c>
      <c r="O6" s="3">
        <v>2024</v>
      </c>
    </row>
    <row r="7" spans="1:15" x14ac:dyDescent="0.25">
      <c r="A7" s="4">
        <v>4</v>
      </c>
      <c r="B7" s="3">
        <v>0.62597399500000006</v>
      </c>
      <c r="C7" s="3">
        <f>[1]SC1!C6*10000</f>
        <v>15.04859102300467</v>
      </c>
      <c r="D7" s="3">
        <f>[1]SC1!D6*10000</f>
        <v>19.173306006651831</v>
      </c>
      <c r="E7" s="3">
        <f>[1]SC1!E6*10000</f>
        <v>44.604870967729241</v>
      </c>
      <c r="F7" s="3">
        <f>[1]SC1!F6*10000</f>
        <v>34.738399620934842</v>
      </c>
      <c r="G7" s="3">
        <v>2025</v>
      </c>
      <c r="I7" s="4">
        <v>4</v>
      </c>
      <c r="J7" s="3">
        <v>0.62597399500000006</v>
      </c>
      <c r="K7" s="3">
        <f>[2]SC1!C6* 10000</f>
        <v>26.418066501770909</v>
      </c>
      <c r="L7" s="3">
        <f>[2]SC1!D6* 10000</f>
        <v>42.826094301419602</v>
      </c>
      <c r="N7" s="3">
        <f>[2]SC1!F6* 10000</f>
        <v>91.120776679414888</v>
      </c>
      <c r="O7" s="3">
        <v>2025</v>
      </c>
    </row>
    <row r="8" spans="1:15" x14ac:dyDescent="0.25">
      <c r="A8" s="4">
        <v>5</v>
      </c>
      <c r="B8" s="3">
        <v>0.65215581535000011</v>
      </c>
      <c r="C8" s="3">
        <f>[1]SC1!C7*10000</f>
        <v>16.279289188344482</v>
      </c>
      <c r="D8" s="3">
        <f>[1]SC1!D7*10000</f>
        <v>20.806178187950888</v>
      </c>
      <c r="E8" s="3">
        <f>[1]SC1!E7*10000</f>
        <v>49.723616090862492</v>
      </c>
      <c r="F8" s="3">
        <f>[1]SC1!F7*10000</f>
        <v>37.464007159960218</v>
      </c>
      <c r="G8" s="3">
        <v>2026</v>
      </c>
      <c r="I8" s="4">
        <v>5</v>
      </c>
      <c r="J8" s="3">
        <v>0.65215581535000011</v>
      </c>
      <c r="K8" s="3">
        <f>[2]SC1!C7* 10000</f>
        <v>31.303644888917578</v>
      </c>
      <c r="L8" s="3">
        <f>[2]SC1!D7* 10000</f>
        <v>64.033209650620051</v>
      </c>
      <c r="O8" s="3">
        <v>2026</v>
      </c>
    </row>
    <row r="9" spans="1:15" x14ac:dyDescent="0.25">
      <c r="A9" s="4">
        <v>6</v>
      </c>
      <c r="B9" s="3">
        <v>0.67650490827550014</v>
      </c>
      <c r="C9" s="3">
        <f>[1]SC1!C8*10000</f>
        <v>17.551479639141771</v>
      </c>
      <c r="D9" s="3">
        <f>[1]SC1!D8*10000</f>
        <v>22.549454767052261</v>
      </c>
      <c r="E9" s="3">
        <f>[1]SC1!E8*10000</f>
        <v>55.020573447390127</v>
      </c>
      <c r="F9" s="3">
        <f>[1]SC1!F8*10000</f>
        <v>40.218863444399915</v>
      </c>
      <c r="G9" s="3">
        <v>2027</v>
      </c>
      <c r="I9" s="4">
        <v>6</v>
      </c>
      <c r="J9" s="3">
        <v>0.67650490827550014</v>
      </c>
      <c r="K9" s="3">
        <f>[2]SC1!C8* 10000</f>
        <v>38.476590028945488</v>
      </c>
      <c r="O9" s="3">
        <v>2027</v>
      </c>
    </row>
    <row r="10" spans="1:15" x14ac:dyDescent="0.25">
      <c r="A10" s="4">
        <v>7</v>
      </c>
      <c r="B10" s="3">
        <v>0.69914956469621514</v>
      </c>
      <c r="C10" s="3">
        <f>[1]SC1!C9*10000</f>
        <v>18.840446611241109</v>
      </c>
      <c r="D10" s="3">
        <f>[1]SC1!D9*10000</f>
        <v>24.445657820577008</v>
      </c>
      <c r="E10" s="3">
        <f>[1]SC1!E9*10000</f>
        <v>60.473628289899771</v>
      </c>
      <c r="F10" s="3">
        <f>[1]SC1!F9*10000</f>
        <v>42.9919656858916</v>
      </c>
      <c r="G10" s="3">
        <v>2028</v>
      </c>
      <c r="I10" s="4">
        <v>7</v>
      </c>
      <c r="J10" s="3">
        <v>0.69914956469621514</v>
      </c>
      <c r="K10" s="3">
        <f>[2]SC1!C9* 10000</f>
        <v>52.499959594197925</v>
      </c>
      <c r="O10" s="3">
        <v>2028</v>
      </c>
    </row>
    <row r="11" spans="1:15" x14ac:dyDescent="0.25">
      <c r="A11" s="4">
        <v>8</v>
      </c>
      <c r="B11" s="3">
        <v>0.72020909516748011</v>
      </c>
      <c r="C11" s="3">
        <f>[1]SC1!C10*10000</f>
        <v>20.184957917641519</v>
      </c>
      <c r="D11" s="3">
        <f>[1]SC1!D10*10000</f>
        <v>26.46458023596059</v>
      </c>
      <c r="E11" s="3">
        <f>[1]SC1!E10*10000</f>
        <v>65.984879575539367</v>
      </c>
      <c r="F11" s="3">
        <f>[1]SC1!F10*10000</f>
        <v>45.77503744001325</v>
      </c>
      <c r="G11" s="3">
        <v>2029</v>
      </c>
      <c r="I11" s="4">
        <v>8</v>
      </c>
      <c r="J11" s="3">
        <v>0.72020909516748011</v>
      </c>
      <c r="O11" s="3">
        <v>2029</v>
      </c>
    </row>
    <row r="12" spans="1:15" x14ac:dyDescent="0.25">
      <c r="A12" s="4">
        <v>9</v>
      </c>
      <c r="B12" s="3">
        <v>0.73979445850575654</v>
      </c>
      <c r="C12" s="3">
        <f>[1]SC1!C11*10000</f>
        <v>21.59268221803034</v>
      </c>
      <c r="D12" s="3">
        <f>[1]SC1!D11*10000</f>
        <v>28.58936246396339</v>
      </c>
      <c r="E12" s="3">
        <f>[1]SC1!E11*10000</f>
        <v>71.51901906534583</v>
      </c>
      <c r="F12" s="3">
        <f>[1]SC1!F11*10000</f>
        <v>48.554941614060795</v>
      </c>
      <c r="G12" s="3">
        <v>2030</v>
      </c>
      <c r="I12" s="4">
        <v>9</v>
      </c>
      <c r="J12" s="3">
        <v>0.73979445850575654</v>
      </c>
      <c r="O12" s="3">
        <v>2030</v>
      </c>
    </row>
    <row r="13" spans="1:15" x14ac:dyDescent="0.25">
      <c r="A13" s="4">
        <v>10</v>
      </c>
      <c r="B13" s="3">
        <v>0.7580088464103536</v>
      </c>
      <c r="C13" s="3">
        <f>[1]SC1!C12*10000</f>
        <v>23.06017309075105</v>
      </c>
      <c r="D13" s="3">
        <f>[1]SC1!D12*10000</f>
        <v>30.819611861001821</v>
      </c>
      <c r="E13" s="3">
        <f>[1]SC1!E12*10000</f>
        <v>77.099429104094298</v>
      </c>
      <c r="F13" s="3">
        <f>[1]SC1!F12*10000</f>
        <v>51.309866063317685</v>
      </c>
      <c r="G13" s="3">
        <v>2031</v>
      </c>
      <c r="I13" s="4">
        <v>10</v>
      </c>
      <c r="J13" s="3">
        <v>0.7580088464103536</v>
      </c>
      <c r="O13" s="3">
        <v>2031</v>
      </c>
    </row>
    <row r="14" spans="1:15" x14ac:dyDescent="0.25">
      <c r="A14" s="4">
        <v>11</v>
      </c>
      <c r="B14" s="3">
        <v>0.77494822716162881</v>
      </c>
      <c r="C14" s="3">
        <f>[1]SC1!C13*10000</f>
        <v>24.56568443814627</v>
      </c>
      <c r="D14" s="3">
        <f>[1]SC1!D13*10000</f>
        <v>33.170935373658786</v>
      </c>
      <c r="E14" s="3">
        <f>[1]SC1!E13*10000</f>
        <v>83.005895009116784</v>
      </c>
      <c r="F14" s="3">
        <f>[1]SC1!F13*10000</f>
        <v>54.023178926723197</v>
      </c>
      <c r="G14" s="3">
        <v>2032</v>
      </c>
      <c r="I14" s="4">
        <v>11</v>
      </c>
      <c r="J14" s="3">
        <v>0.77494822716162881</v>
      </c>
      <c r="O14" s="3">
        <v>2032</v>
      </c>
    </row>
    <row r="15" spans="1:15" x14ac:dyDescent="0.25">
      <c r="A15" s="4">
        <v>12</v>
      </c>
      <c r="B15" s="3">
        <v>0.79070185126031478</v>
      </c>
      <c r="C15" s="3">
        <f>[1]SC1!C14*10000</f>
        <v>26.117288175577478</v>
      </c>
      <c r="D15" s="3">
        <f>[1]SC1!D14*10000</f>
        <v>35.665631009611317</v>
      </c>
      <c r="E15" s="3">
        <f>[1]SC1!E14*10000</f>
        <v>89.75988368309261</v>
      </c>
      <c r="F15" s="3">
        <f>[1]SC1!F14*10000</f>
        <v>56.752009053797927</v>
      </c>
      <c r="G15" s="3">
        <v>2033</v>
      </c>
      <c r="I15" s="4">
        <v>12</v>
      </c>
      <c r="J15" s="3">
        <v>0.79070185126031478</v>
      </c>
      <c r="O15" s="3">
        <v>2033</v>
      </c>
    </row>
    <row r="16" spans="1:15" x14ac:dyDescent="0.25">
      <c r="A16" s="4">
        <v>13</v>
      </c>
      <c r="B16" s="3">
        <v>0.80535272167209282</v>
      </c>
      <c r="C16" s="3">
        <f>[1]SC1!C15*10000</f>
        <v>27.714686513809578</v>
      </c>
      <c r="D16" s="3">
        <f>[1]SC1!D15*10000</f>
        <v>38.286187371396025</v>
      </c>
      <c r="E16" s="3">
        <f>[1]SC1!E15*10000</f>
        <v>97.497429671210554</v>
      </c>
      <c r="F16" s="3">
        <f>[1]SC1!F15*10000</f>
        <v>59.587992015530624</v>
      </c>
      <c r="G16" s="3">
        <v>2034</v>
      </c>
      <c r="I16" s="4">
        <v>13</v>
      </c>
      <c r="J16" s="3">
        <v>0.80535272167209282</v>
      </c>
      <c r="O16" s="3">
        <v>2034</v>
      </c>
    </row>
    <row r="17" spans="1:15" x14ac:dyDescent="0.25">
      <c r="A17" s="4">
        <v>14</v>
      </c>
      <c r="B17" s="3">
        <v>0.8189780311550463</v>
      </c>
      <c r="C17" s="3">
        <f>[1]SC1!C16*10000</f>
        <v>29.361988056176301</v>
      </c>
      <c r="D17" s="3">
        <f>[1]SC1!D16*10000</f>
        <v>40.991885688478156</v>
      </c>
      <c r="E17" s="3">
        <f>[1]SC1!E16*10000</f>
        <v>106.43274473076521</v>
      </c>
      <c r="F17" s="3">
        <f>[1]SC1!F16*10000</f>
        <v>62.602673375412984</v>
      </c>
      <c r="G17" s="3">
        <v>2035</v>
      </c>
      <c r="I17" s="4">
        <v>14</v>
      </c>
      <c r="J17" s="3">
        <v>0.8189780311550463</v>
      </c>
      <c r="O17" s="3">
        <v>2035</v>
      </c>
    </row>
    <row r="18" spans="1:15" x14ac:dyDescent="0.25">
      <c r="A18" s="4">
        <v>15</v>
      </c>
      <c r="B18" s="3">
        <v>0.83164956897419307</v>
      </c>
      <c r="C18" s="3">
        <f>[1]SC1!C17*10000</f>
        <v>31.056854626914198</v>
      </c>
      <c r="D18" s="3">
        <f>[1]SC1!D17*10000</f>
        <v>43.755660539198487</v>
      </c>
      <c r="E18" s="3">
        <f>[1]SC1!E17*10000</f>
        <v>116.75177867679579</v>
      </c>
      <c r="F18" s="3">
        <f>[1]SC1!F17*10000</f>
        <v>65.740406949073204</v>
      </c>
      <c r="G18" s="3">
        <v>2036</v>
      </c>
      <c r="I18" s="4">
        <v>15</v>
      </c>
      <c r="J18" s="3">
        <v>0.83164956897419307</v>
      </c>
      <c r="O18" s="3">
        <v>2036</v>
      </c>
    </row>
    <row r="19" spans="1:15" x14ac:dyDescent="0.25">
      <c r="A19" s="4">
        <v>16</v>
      </c>
      <c r="B19" s="3">
        <v>0.84343409914599965</v>
      </c>
      <c r="C19" s="3">
        <f>[1]SC1!C18*10000</f>
        <v>32.79491597144753</v>
      </c>
      <c r="D19" s="3">
        <f>[1]SC1!D18*10000</f>
        <v>46.576689095114709</v>
      </c>
      <c r="E19" s="3">
        <f>[1]SC1!E18*10000</f>
        <v>128.3555377540836</v>
      </c>
      <c r="F19" s="3">
        <f>[1]SC1!F18*10000</f>
        <v>68.957558888394502</v>
      </c>
      <c r="G19" s="3">
        <v>2037</v>
      </c>
      <c r="I19" s="4">
        <v>16</v>
      </c>
      <c r="J19" s="3">
        <v>0.84343409914599965</v>
      </c>
      <c r="O19" s="3">
        <v>2037</v>
      </c>
    </row>
    <row r="20" spans="1:15" x14ac:dyDescent="0.25">
      <c r="A20" s="4">
        <v>17</v>
      </c>
      <c r="B20" s="3">
        <v>0.85439371220577964</v>
      </c>
      <c r="C20" s="3">
        <f>[1]SC1!C19*10000</f>
        <v>34.546497115627801</v>
      </c>
      <c r="D20" s="3">
        <f>[1]SC1!D19*10000</f>
        <v>49.421925035304014</v>
      </c>
      <c r="E20" s="3">
        <f>[1]SC1!E19*10000</f>
        <v>141.18884010949211</v>
      </c>
      <c r="F20" s="3">
        <f>[1]SC1!F19*10000</f>
        <v>72.255611414924687</v>
      </c>
      <c r="G20" s="3">
        <v>2038</v>
      </c>
      <c r="I20" s="4">
        <v>17</v>
      </c>
      <c r="J20" s="3">
        <v>0.85439371220577964</v>
      </c>
      <c r="O20" s="3">
        <v>2038</v>
      </c>
    </row>
    <row r="21" spans="1:15" x14ac:dyDescent="0.25">
      <c r="A21" s="4">
        <v>18</v>
      </c>
      <c r="B21" s="3">
        <v>0.86458615235137504</v>
      </c>
      <c r="C21" s="3">
        <f>[1]SC1!C20*10000</f>
        <v>36.295543655020069</v>
      </c>
      <c r="D21" s="3">
        <f>[1]SC1!D20*10000</f>
        <v>52.260963576588111</v>
      </c>
      <c r="E21" s="3">
        <f>[1]SC1!E20*10000</f>
        <v>155.6541107345034</v>
      </c>
      <c r="F21" s="3">
        <f>[1]SC1!F20*10000</f>
        <v>75.766302551134203</v>
      </c>
      <c r="G21" s="3">
        <v>2039</v>
      </c>
      <c r="I21" s="4">
        <v>18</v>
      </c>
      <c r="J21" s="3">
        <v>0.86458615235137504</v>
      </c>
      <c r="O21" s="3">
        <v>2039</v>
      </c>
    </row>
    <row r="22" spans="1:15" x14ac:dyDescent="0.25">
      <c r="A22" s="4">
        <v>19</v>
      </c>
      <c r="B22" s="3">
        <v>0.87406512168677875</v>
      </c>
      <c r="C22" s="3">
        <f>[1]SC1!C21*10000</f>
        <v>38.02508821030721</v>
      </c>
      <c r="D22" s="3">
        <f>[1]SC1!D21*10000</f>
        <v>55.075214798188433</v>
      </c>
      <c r="E22" s="3">
        <f>[1]SC1!E21*10000</f>
        <v>172.91499540913881</v>
      </c>
      <c r="F22" s="3">
        <f>[1]SC1!F21*10000</f>
        <v>79.562774127173725</v>
      </c>
      <c r="G22" s="3">
        <v>2040</v>
      </c>
      <c r="I22" s="4">
        <v>19</v>
      </c>
      <c r="J22" s="3">
        <v>0.87406512168677875</v>
      </c>
      <c r="O22" s="3">
        <v>2040</v>
      </c>
    </row>
    <row r="23" spans="1:15" x14ac:dyDescent="0.25">
      <c r="A23" s="4">
        <v>20</v>
      </c>
      <c r="B23" s="3">
        <v>0.88288056316870434</v>
      </c>
      <c r="C23" s="3">
        <f>[1]SC1!C22*10000</f>
        <v>39.72130122399043</v>
      </c>
      <c r="D23" s="3">
        <f>[1]SC1!D22*10000</f>
        <v>57.838687738141545</v>
      </c>
      <c r="E23" s="3">
        <f>[1]SC1!E22*10000</f>
        <v>193.04815449573721</v>
      </c>
      <c r="F23" s="3">
        <f>[1]SC1!F22*10000</f>
        <v>83.772139805780455</v>
      </c>
      <c r="G23" s="3">
        <v>2041</v>
      </c>
      <c r="I23" s="4">
        <v>20</v>
      </c>
      <c r="J23" s="3">
        <v>0.88288056316870434</v>
      </c>
      <c r="O23" s="3">
        <v>2041</v>
      </c>
    </row>
    <row r="24" spans="1:15" x14ac:dyDescent="0.25">
      <c r="A24" s="4">
        <v>21</v>
      </c>
      <c r="B24" s="3">
        <v>0.89107892374689501</v>
      </c>
      <c r="C24" s="3">
        <f>[1]SC1!C23*10000</f>
        <v>41.402475010650505</v>
      </c>
      <c r="D24" s="3">
        <f>[1]SC1!D23*10000</f>
        <v>60.598564997441116</v>
      </c>
      <c r="E24" s="3">
        <f>[1]SC1!E23*10000</f>
        <v>214.96214380831083</v>
      </c>
      <c r="F24" s="3">
        <f>[1]SC1!F23*10000</f>
        <v>88.468155059664952</v>
      </c>
      <c r="G24" s="3">
        <v>2042</v>
      </c>
      <c r="I24" s="4">
        <v>21</v>
      </c>
      <c r="J24" s="3">
        <v>0.89107892374689501</v>
      </c>
      <c r="O24" s="3">
        <v>2042</v>
      </c>
    </row>
    <row r="25" spans="1:15" x14ac:dyDescent="0.25">
      <c r="A25" s="4">
        <v>22</v>
      </c>
      <c r="B25" s="3">
        <v>0.89870339908461239</v>
      </c>
      <c r="C25" s="3">
        <f>[1]SC1!C24*10000</f>
        <v>43.064294472469953</v>
      </c>
      <c r="D25" s="3">
        <f>[1]SC1!D24*10000</f>
        <v>63.375640950719813</v>
      </c>
      <c r="E25" s="3">
        <f>[1]SC1!E24*10000</f>
        <v>239.33117600068891</v>
      </c>
      <c r="F25" s="3">
        <f>[1]SC1!F24*10000</f>
        <v>93.935818396888152</v>
      </c>
      <c r="G25" s="3">
        <v>2043</v>
      </c>
      <c r="I25" s="4">
        <v>22</v>
      </c>
      <c r="J25" s="3">
        <v>0.89870339908461239</v>
      </c>
      <c r="O25" s="3">
        <v>2043</v>
      </c>
    </row>
    <row r="26" spans="1:15" x14ac:dyDescent="0.25">
      <c r="A26" s="4">
        <v>23</v>
      </c>
      <c r="B26" s="3">
        <v>0.90579416114868949</v>
      </c>
      <c r="C26" s="3">
        <f>[1]SC1!C25*10000</f>
        <v>44.689749447336041</v>
      </c>
      <c r="D26" s="3">
        <f>[1]SC1!D25*10000</f>
        <v>66.372828600463976</v>
      </c>
      <c r="E26" s="3">
        <f>[1]SC1!E25*10000</f>
        <v>267.4963972590437</v>
      </c>
      <c r="F26" s="3">
        <f>[1]SC1!F25*10000</f>
        <v>100.26833712018211</v>
      </c>
      <c r="G26" s="3">
        <v>2044</v>
      </c>
      <c r="I26" s="4">
        <v>23</v>
      </c>
      <c r="J26" s="3">
        <v>0.90579416114868949</v>
      </c>
      <c r="O26" s="3">
        <v>2044</v>
      </c>
    </row>
    <row r="27" spans="1:15" x14ac:dyDescent="0.25">
      <c r="A27" s="4">
        <v>24</v>
      </c>
      <c r="B27" s="3">
        <v>0.91238856986828121</v>
      </c>
      <c r="C27" s="3">
        <f>[1]SC1!C26*10000</f>
        <v>46.275078599239833</v>
      </c>
      <c r="D27" s="3">
        <f>[1]SC1!D26*10000</f>
        <v>69.781478887155785</v>
      </c>
      <c r="E27" s="3">
        <f>[1]SC1!E26*10000</f>
        <v>308.23598523609184</v>
      </c>
      <c r="F27" s="3">
        <f>[1]SC1!F26*10000</f>
        <v>107.3691905715674</v>
      </c>
      <c r="G27" s="3">
        <v>2045</v>
      </c>
      <c r="I27" s="4">
        <v>24</v>
      </c>
      <c r="J27" s="3">
        <v>0.91238856986828121</v>
      </c>
      <c r="O27" s="3">
        <v>2045</v>
      </c>
    </row>
    <row r="28" spans="1:15" x14ac:dyDescent="0.25">
      <c r="A28" s="4">
        <v>25</v>
      </c>
      <c r="B28" s="3">
        <v>0.91852136997750156</v>
      </c>
      <c r="C28" s="3">
        <f>[1]SC1!C27*10000</f>
        <v>47.823197847925613</v>
      </c>
      <c r="D28" s="3">
        <f>[1]SC1!D27*10000</f>
        <v>73.573979869749138</v>
      </c>
      <c r="E28" s="3">
        <f>[1]SC1!E27*10000</f>
        <v>418.03702698937769</v>
      </c>
      <c r="F28" s="3">
        <f>[1]SC1!F27*10000</f>
        <v>115.1862640586584</v>
      </c>
      <c r="G28" s="3">
        <v>2046</v>
      </c>
      <c r="I28" s="4">
        <v>25</v>
      </c>
      <c r="J28" s="3">
        <v>0.91852136997750156</v>
      </c>
      <c r="O28" s="3">
        <v>2046</v>
      </c>
    </row>
    <row r="29" spans="1:15" x14ac:dyDescent="0.25">
      <c r="A29" s="4">
        <v>26</v>
      </c>
      <c r="B29" s="3">
        <v>0.9242248740790765</v>
      </c>
      <c r="C29" s="3">
        <f>[1]SC1!C28*10000</f>
        <v>49.325195065742491</v>
      </c>
      <c r="D29" s="3">
        <f>[1]SC1!D28*10000</f>
        <v>77.707975710732214</v>
      </c>
      <c r="E29" s="3">
        <f>[1]SC1!E28*10000</f>
        <v>1048.1102868881901</v>
      </c>
      <c r="F29" s="3">
        <f>[1]SC1!F28*10000</f>
        <v>123.827180227193</v>
      </c>
      <c r="G29" s="3">
        <v>2047</v>
      </c>
      <c r="I29" s="4">
        <v>26</v>
      </c>
      <c r="J29" s="3">
        <v>0.9242248740790765</v>
      </c>
      <c r="O29" s="3">
        <v>2047</v>
      </c>
    </row>
    <row r="30" spans="1:15" x14ac:dyDescent="0.25">
      <c r="A30" s="4">
        <v>27</v>
      </c>
      <c r="B30" s="3">
        <v>0.92952913289354111</v>
      </c>
      <c r="C30" s="3">
        <f>[1]SC1!C29*10000</f>
        <v>50.772547741324431</v>
      </c>
      <c r="D30" s="3">
        <f>[1]SC1!D29*10000</f>
        <v>82.179894141562386</v>
      </c>
      <c r="F30" s="3">
        <f>[1]SC1!F29*10000</f>
        <v>133.42585680775841</v>
      </c>
      <c r="G30" s="3">
        <v>2048</v>
      </c>
      <c r="I30" s="4">
        <v>27</v>
      </c>
      <c r="J30" s="3">
        <v>0.92952913289354111</v>
      </c>
      <c r="O30" s="3">
        <v>2048</v>
      </c>
    </row>
    <row r="31" spans="1:15" x14ac:dyDescent="0.25">
      <c r="A31" s="4">
        <v>28</v>
      </c>
      <c r="B31" s="3">
        <v>0.93446209359099319</v>
      </c>
      <c r="C31" s="3">
        <f>[1]SC1!C30*10000</f>
        <v>52.174612084486853</v>
      </c>
      <c r="D31" s="3">
        <f>[1]SC1!D30*10000</f>
        <v>87.000443842414001</v>
      </c>
      <c r="F31" s="3">
        <f>[1]SC1!F30*10000</f>
        <v>144.25430251954009</v>
      </c>
      <c r="G31" s="3">
        <v>2049</v>
      </c>
      <c r="I31" s="4">
        <v>28</v>
      </c>
      <c r="J31" s="3">
        <v>0.93446209359099319</v>
      </c>
      <c r="O31" s="3">
        <v>2049</v>
      </c>
    </row>
    <row r="32" spans="1:15" x14ac:dyDescent="0.25">
      <c r="A32" s="4">
        <v>29</v>
      </c>
      <c r="B32" s="3">
        <v>0.93904974703962374</v>
      </c>
      <c r="C32" s="3">
        <f>[1]SC1!C31*10000</f>
        <v>53.550082812198298</v>
      </c>
      <c r="D32" s="3">
        <f>[1]SC1!D31*10000</f>
        <v>92.261636631358826</v>
      </c>
      <c r="F32" s="3">
        <f>[1]SC1!F31*10000</f>
        <v>156.5253676033999</v>
      </c>
      <c r="G32" s="3">
        <v>2050</v>
      </c>
      <c r="I32" s="4">
        <v>29</v>
      </c>
      <c r="J32" s="3">
        <v>0.93904974703962374</v>
      </c>
      <c r="O32" s="3">
        <v>2050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O20" sqref="O20"/>
    </sheetView>
  </sheetViews>
  <sheetFormatPr defaultRowHeight="15" x14ac:dyDescent="0.25"/>
  <cols>
    <col min="1" max="1" width="34.42578125" bestFit="1" customWidth="1"/>
    <col min="2" max="10" width="6.5703125" style="20" customWidth="1"/>
  </cols>
  <sheetData>
    <row r="1" spans="1:14" x14ac:dyDescent="0.25">
      <c r="A1" s="3" t="s">
        <v>48</v>
      </c>
      <c r="B1" s="20">
        <v>2022</v>
      </c>
      <c r="C1" s="20">
        <v>2023</v>
      </c>
      <c r="D1" s="20">
        <v>2024</v>
      </c>
      <c r="E1" s="20">
        <v>2025</v>
      </c>
      <c r="F1" s="20">
        <v>2030</v>
      </c>
      <c r="G1" s="20">
        <v>2035</v>
      </c>
      <c r="H1" s="20">
        <v>2040</v>
      </c>
      <c r="I1" s="20">
        <v>2045</v>
      </c>
      <c r="J1" s="20">
        <v>2050</v>
      </c>
    </row>
    <row r="2" spans="1:14" x14ac:dyDescent="0.25">
      <c r="A2" t="s">
        <v>30</v>
      </c>
      <c r="B2" s="20">
        <v>1.1448039668889499E-2</v>
      </c>
      <c r="C2" s="20">
        <v>1.25471349675214E-2</v>
      </c>
      <c r="D2" s="20">
        <v>1.37524628050886E-2</v>
      </c>
      <c r="E2" s="20">
        <v>1.50936795167391E-2</v>
      </c>
      <c r="F2" s="20">
        <v>1.96415450515099E-2</v>
      </c>
      <c r="G2" s="20">
        <v>2.6573740109169401E-2</v>
      </c>
      <c r="H2" s="20">
        <v>2.9645586625002E-2</v>
      </c>
      <c r="I2" s="20">
        <v>3.3453896476839898E-2</v>
      </c>
      <c r="J2" s="20">
        <v>3.9543938114786702E-2</v>
      </c>
      <c r="L2" s="3"/>
    </row>
    <row r="3" spans="1:14" x14ac:dyDescent="0.25">
      <c r="A3" t="s">
        <v>31</v>
      </c>
      <c r="B3" s="20">
        <v>5.1445480455229203E-2</v>
      </c>
      <c r="C3" s="20">
        <v>6.0566589162541797E-2</v>
      </c>
      <c r="D3" s="20">
        <v>7.4096001470361203E-2</v>
      </c>
      <c r="E3" s="20">
        <v>9.0481082523129197E-2</v>
      </c>
      <c r="F3" s="20">
        <v>0.20539566030932099</v>
      </c>
      <c r="G3" s="20">
        <v>0.30836804557302</v>
      </c>
      <c r="H3" s="20">
        <v>0.31285129151643998</v>
      </c>
      <c r="I3" s="20">
        <v>0.42292923570896102</v>
      </c>
      <c r="J3" s="20">
        <v>0.95847136910184105</v>
      </c>
      <c r="L3" s="3"/>
    </row>
    <row r="4" spans="1:14" x14ac:dyDescent="0.25">
      <c r="A4" t="s">
        <v>45</v>
      </c>
      <c r="B4" s="20">
        <v>0.132961892408268</v>
      </c>
      <c r="C4" s="20">
        <v>0.15922922065876099</v>
      </c>
      <c r="D4" s="20">
        <v>0.19317686289636599</v>
      </c>
      <c r="E4" s="20">
        <v>0.228215631535577</v>
      </c>
      <c r="F4" s="20">
        <v>0.43156017127517998</v>
      </c>
      <c r="G4" s="20">
        <v>1.7007528138775001</v>
      </c>
      <c r="H4" s="20">
        <v>8.1774029345492707</v>
      </c>
      <c r="I4" s="20">
        <v>56.051131736998698</v>
      </c>
    </row>
    <row r="5" spans="1:14" x14ac:dyDescent="0.25">
      <c r="A5" t="s">
        <v>46</v>
      </c>
      <c r="B5" s="20">
        <v>3.93023733416498E-2</v>
      </c>
      <c r="C5" s="20">
        <v>4.3959883253650398E-2</v>
      </c>
      <c r="D5" s="20">
        <v>5.0910119193002097E-2</v>
      </c>
      <c r="E5" s="20">
        <v>5.9881207361048801E-2</v>
      </c>
      <c r="F5" s="20">
        <v>0.127797374934257</v>
      </c>
      <c r="G5" s="20">
        <v>0.261027718947556</v>
      </c>
      <c r="H5" s="20">
        <v>0.63749477564052603</v>
      </c>
      <c r="I5" s="20">
        <v>2.19319798157089</v>
      </c>
      <c r="J5" s="20">
        <v>7.1449806299701804</v>
      </c>
    </row>
    <row r="8" spans="1:14" x14ac:dyDescent="0.25">
      <c r="A8" s="3" t="s">
        <v>47</v>
      </c>
      <c r="B8" s="20">
        <v>2022</v>
      </c>
      <c r="C8" s="20">
        <v>2023</v>
      </c>
      <c r="D8" s="20">
        <v>2024</v>
      </c>
      <c r="E8" s="20">
        <v>2025</v>
      </c>
      <c r="F8" s="20">
        <v>2030</v>
      </c>
      <c r="G8" s="20">
        <v>2035</v>
      </c>
      <c r="H8" s="20">
        <v>2040</v>
      </c>
      <c r="I8" s="20">
        <v>2045</v>
      </c>
      <c r="J8" s="20">
        <v>2050</v>
      </c>
      <c r="K8" s="21"/>
    </row>
    <row r="9" spans="1:14" x14ac:dyDescent="0.25">
      <c r="A9" s="3" t="s">
        <v>30</v>
      </c>
      <c r="B9" s="20">
        <v>21.385271315122498</v>
      </c>
      <c r="C9" s="20">
        <v>20.7602113482466</v>
      </c>
      <c r="D9" s="20">
        <v>20.174741898769501</v>
      </c>
      <c r="E9" s="20">
        <v>19.629308966880501</v>
      </c>
      <c r="F9" s="20">
        <v>16.976629581024302</v>
      </c>
      <c r="G9" s="20">
        <v>14.604873826766701</v>
      </c>
      <c r="H9" s="20">
        <v>12.6805416986713</v>
      </c>
      <c r="I9" s="20">
        <v>11.368775854732601</v>
      </c>
      <c r="J9" s="20">
        <v>10.5677608543873</v>
      </c>
      <c r="K9" s="21"/>
    </row>
    <row r="10" spans="1:14" x14ac:dyDescent="0.25">
      <c r="A10" s="3" t="s">
        <v>31</v>
      </c>
      <c r="B10" s="20">
        <v>20.484712090568198</v>
      </c>
      <c r="C10" s="20">
        <v>19.9480335103272</v>
      </c>
      <c r="D10" s="20">
        <v>19.495764818908899</v>
      </c>
      <c r="E10" s="20">
        <v>19.080667501016599</v>
      </c>
      <c r="F10" s="20">
        <v>17.669871782866402</v>
      </c>
      <c r="G10" s="20">
        <v>16.595757291264</v>
      </c>
      <c r="H10" s="20">
        <v>15.7968315757764</v>
      </c>
      <c r="I10" s="20">
        <v>17.5537091352742</v>
      </c>
      <c r="J10" s="20">
        <v>20.4522990259624</v>
      </c>
      <c r="K10" s="21"/>
    </row>
    <row r="11" spans="1:14" x14ac:dyDescent="0.25">
      <c r="A11" s="3" t="s">
        <v>45</v>
      </c>
      <c r="B11" s="20">
        <v>16.046480913058598</v>
      </c>
      <c r="C11" s="20">
        <v>15.4538752340606</v>
      </c>
      <c r="D11" s="20">
        <v>15.017861455524701</v>
      </c>
      <c r="E11" s="20">
        <v>14.6550620409175</v>
      </c>
      <c r="F11" s="20">
        <v>13.685928985689699</v>
      </c>
      <c r="G11" s="20">
        <v>21.114251954064699</v>
      </c>
      <c r="H11" s="20">
        <v>48.300678856408403</v>
      </c>
      <c r="I11" s="20">
        <v>220.16791275131999</v>
      </c>
      <c r="K11" s="21"/>
    </row>
    <row r="12" spans="1:14" x14ac:dyDescent="0.25">
      <c r="A12" s="3" t="s">
        <v>46</v>
      </c>
      <c r="B12" s="20">
        <v>15.308839254175201</v>
      </c>
      <c r="C12" s="20">
        <v>14.599594220615399</v>
      </c>
      <c r="D12" s="20">
        <v>14.028538016768801</v>
      </c>
      <c r="E12" s="20">
        <v>13.5475577704565</v>
      </c>
      <c r="F12" s="20">
        <v>11.9784449164428</v>
      </c>
      <c r="G12" s="20">
        <v>11.7733666907807</v>
      </c>
      <c r="H12" s="20">
        <v>14.3958964855335</v>
      </c>
      <c r="I12" s="20">
        <v>24.100283035748799</v>
      </c>
      <c r="J12" s="20">
        <v>51.540641641782599</v>
      </c>
      <c r="K12" s="21"/>
    </row>
    <row r="13" spans="1:14" x14ac:dyDescent="0.25">
      <c r="G13"/>
      <c r="K13" s="20"/>
      <c r="L13" s="3"/>
      <c r="M13" s="3"/>
      <c r="N13" s="3"/>
    </row>
    <row r="14" spans="1:14" x14ac:dyDescent="0.25">
      <c r="G14"/>
      <c r="K14" s="20"/>
      <c r="L14" s="3"/>
      <c r="M14" s="3"/>
      <c r="N14" s="3"/>
    </row>
    <row r="15" spans="1:14" x14ac:dyDescent="0.25">
      <c r="A15" s="3" t="s">
        <v>54</v>
      </c>
      <c r="B15" s="20">
        <v>2022</v>
      </c>
      <c r="C15" s="20">
        <v>2023</v>
      </c>
      <c r="D15" s="20">
        <v>2024</v>
      </c>
      <c r="E15" s="20">
        <v>2025</v>
      </c>
      <c r="F15" s="20">
        <v>2030</v>
      </c>
      <c r="G15">
        <v>2035</v>
      </c>
      <c r="H15" s="20">
        <v>2040</v>
      </c>
      <c r="I15" s="20">
        <v>2045</v>
      </c>
      <c r="J15" s="20">
        <v>2050</v>
      </c>
      <c r="K15" s="20"/>
      <c r="L15" s="3"/>
      <c r="M15" s="3"/>
      <c r="N15" s="3"/>
    </row>
    <row r="16" spans="1:14" x14ac:dyDescent="0.25">
      <c r="A16" t="s">
        <v>9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>
        <v>0</v>
      </c>
      <c r="H16" s="20">
        <v>0</v>
      </c>
      <c r="I16" s="20">
        <v>0</v>
      </c>
      <c r="J16" s="20">
        <v>0</v>
      </c>
      <c r="K16" s="20"/>
      <c r="L16" s="3"/>
      <c r="M16" s="3"/>
      <c r="N16" s="3"/>
    </row>
    <row r="17" spans="1:14" x14ac:dyDescent="0.25">
      <c r="A17" t="s">
        <v>30</v>
      </c>
      <c r="B17" s="20">
        <v>21.145364435255701</v>
      </c>
      <c r="C17" s="20">
        <v>20.523006885025499</v>
      </c>
      <c r="D17" s="20">
        <v>19.940149756714</v>
      </c>
      <c r="E17" s="20">
        <v>19.397572561209699</v>
      </c>
      <c r="F17" s="20">
        <v>16.760808179766698</v>
      </c>
      <c r="G17">
        <v>14.407905961564699</v>
      </c>
      <c r="H17" s="20">
        <v>12.5038064126199</v>
      </c>
      <c r="I17" s="20">
        <v>11.2071255890788</v>
      </c>
      <c r="J17" s="20">
        <v>10.4160426769862</v>
      </c>
      <c r="K17" s="20"/>
      <c r="L17" s="3"/>
      <c r="M17" s="3"/>
      <c r="N17" s="3"/>
    </row>
    <row r="18" spans="1:14" x14ac:dyDescent="0.25">
      <c r="A18" t="s">
        <v>31</v>
      </c>
      <c r="B18" s="20">
        <v>20.249041859605001</v>
      </c>
      <c r="C18" s="20">
        <v>19.715047750185999</v>
      </c>
      <c r="D18" s="20">
        <v>19.265459983503501</v>
      </c>
      <c r="E18" s="20">
        <v>18.853335592554998</v>
      </c>
      <c r="F18" s="20">
        <v>17.453311935393501</v>
      </c>
      <c r="G18" s="20">
        <v>16.3916820571689</v>
      </c>
      <c r="H18" s="20">
        <v>15.6023431451252</v>
      </c>
      <c r="I18" s="20">
        <v>17.333716784560298</v>
      </c>
      <c r="J18" s="20">
        <v>20.206004578008098</v>
      </c>
    </row>
    <row r="19" spans="1:14" x14ac:dyDescent="0.25">
      <c r="A19" t="s">
        <v>45</v>
      </c>
      <c r="B19" s="20">
        <v>15.8429598972597</v>
      </c>
      <c r="C19" s="20">
        <v>15.256721592029599</v>
      </c>
      <c r="D19" s="20">
        <v>14.826688851368001</v>
      </c>
      <c r="E19" s="20">
        <v>14.468875686497899</v>
      </c>
      <c r="F19" s="20">
        <v>13.5143434968753</v>
      </c>
      <c r="G19" s="20">
        <v>20.884459988725499</v>
      </c>
      <c r="H19" s="20">
        <v>47.867923053467003</v>
      </c>
      <c r="I19" s="20">
        <v>218.1998832882</v>
      </c>
    </row>
    <row r="20" spans="1:14" x14ac:dyDescent="0.25">
      <c r="A20" t="s">
        <v>46</v>
      </c>
      <c r="B20" s="20">
        <v>15.1230230739442</v>
      </c>
      <c r="C20" s="20">
        <v>14.408137790373001</v>
      </c>
      <c r="D20" s="20">
        <v>13.8402737223354</v>
      </c>
      <c r="E20" s="20">
        <v>13.364332856560701</v>
      </c>
      <c r="F20" s="20">
        <v>11.8164004761451</v>
      </c>
      <c r="G20" s="20">
        <v>11.61889663609</v>
      </c>
      <c r="H20" s="20">
        <v>14.2174921299801</v>
      </c>
      <c r="I20" s="20">
        <v>23.8379679098982</v>
      </c>
      <c r="J20" s="20">
        <v>51.019986121170099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workbookViewId="0">
      <selection activeCell="J28" sqref="J28"/>
    </sheetView>
  </sheetViews>
  <sheetFormatPr defaultRowHeight="15" x14ac:dyDescent="0.25"/>
  <cols>
    <col min="1" max="1" width="9.5703125" style="27" bestFit="1" customWidth="1"/>
    <col min="2" max="3" width="10.7109375" style="3" customWidth="1"/>
    <col min="4" max="4" width="11.5703125" style="3" customWidth="1"/>
    <col min="5" max="5" width="14.7109375" style="3" customWidth="1"/>
    <col min="8" max="11" width="9.140625" style="3"/>
  </cols>
  <sheetData>
    <row r="1" spans="1:5" x14ac:dyDescent="0.25">
      <c r="A1" s="4" t="s">
        <v>9</v>
      </c>
      <c r="B1" s="4" t="s">
        <v>30</v>
      </c>
      <c r="C1" s="4" t="s">
        <v>31</v>
      </c>
      <c r="D1" s="4" t="s">
        <v>55</v>
      </c>
      <c r="E1" s="4" t="s">
        <v>46</v>
      </c>
    </row>
    <row r="2" spans="1:5" x14ac:dyDescent="0.25">
      <c r="A2" s="4">
        <v>0</v>
      </c>
      <c r="B2" s="3">
        <v>7.8350818796393144E-11</v>
      </c>
      <c r="C2" s="3">
        <v>7.8350818796393144E-11</v>
      </c>
      <c r="D2" s="3">
        <v>7.8350818796393144E-11</v>
      </c>
      <c r="E2" s="3">
        <v>7.8350818796393144E-11</v>
      </c>
    </row>
    <row r="3" spans="1:5" x14ac:dyDescent="0.25">
      <c r="A3" s="4">
        <v>0.01</v>
      </c>
      <c r="B3" s="3">
        <v>0.1425998746637645</v>
      </c>
      <c r="C3" s="3">
        <v>0.17562551646168151</v>
      </c>
      <c r="D3" s="3">
        <v>0.21700857915357841</v>
      </c>
      <c r="E3" s="3">
        <v>0.2984483412500471</v>
      </c>
    </row>
    <row r="4" spans="1:5" x14ac:dyDescent="0.25">
      <c r="A4" s="4">
        <v>0.02</v>
      </c>
      <c r="B4" s="3">
        <v>0.30223134305476113</v>
      </c>
      <c r="C4" s="3">
        <v>0.36985159546471202</v>
      </c>
      <c r="D4" s="3">
        <v>0.45345158058531387</v>
      </c>
      <c r="E4" s="3">
        <v>0.59803163116840108</v>
      </c>
    </row>
    <row r="5" spans="1:5" x14ac:dyDescent="0.25">
      <c r="A5" s="4">
        <v>0.03</v>
      </c>
      <c r="B5" s="3">
        <v>0.46580589052323129</v>
      </c>
      <c r="C5" s="3">
        <v>0.56716618010062037</v>
      </c>
      <c r="D5" s="3">
        <v>0.70268107701822691</v>
      </c>
      <c r="E5" s="3">
        <v>0.90039804170922522</v>
      </c>
    </row>
    <row r="6" spans="1:5" x14ac:dyDescent="0.25">
      <c r="A6" s="4">
        <v>0.04</v>
      </c>
      <c r="B6" s="3">
        <v>0.63026086108723078</v>
      </c>
      <c r="C6" s="3">
        <v>0.7651837306025504</v>
      </c>
      <c r="D6" s="3">
        <v>0.95488227082424593</v>
      </c>
      <c r="E6" s="3">
        <v>1.2047613861349129</v>
      </c>
    </row>
    <row r="7" spans="1:5" x14ac:dyDescent="0.25">
      <c r="A7" s="4">
        <v>0.05</v>
      </c>
      <c r="B7" s="3">
        <v>0.79505009957970574</v>
      </c>
      <c r="C7" s="3">
        <v>0.9634709128223522</v>
      </c>
      <c r="D7" s="3">
        <v>1.214475518874276</v>
      </c>
      <c r="E7" s="3">
        <v>1.5099222345474881</v>
      </c>
    </row>
    <row r="8" spans="1:5" x14ac:dyDescent="0.25">
      <c r="A8" s="4">
        <v>0.06</v>
      </c>
      <c r="B8" s="3">
        <v>0.96000148495504567</v>
      </c>
      <c r="C8" s="3">
        <v>1.161889689547716</v>
      </c>
      <c r="D8" s="3">
        <v>1.496387620248268</v>
      </c>
      <c r="E8" s="3">
        <v>1.817257574176526</v>
      </c>
    </row>
    <row r="9" spans="1:5" x14ac:dyDescent="0.25">
      <c r="A9" s="4">
        <v>7.0000000000000007E-2</v>
      </c>
      <c r="B9" s="3">
        <v>1.125043698636123</v>
      </c>
      <c r="C9" s="3">
        <v>1.360382480792381</v>
      </c>
      <c r="D9" s="3">
        <v>1.791733035082441</v>
      </c>
      <c r="E9" s="3">
        <v>2.1271472101487512</v>
      </c>
    </row>
    <row r="10" spans="1:5" x14ac:dyDescent="0.25">
      <c r="A10" s="4">
        <v>0.08</v>
      </c>
      <c r="B10" s="3">
        <v>1.290141883289172</v>
      </c>
      <c r="C10" s="3">
        <v>1.5599809673886349</v>
      </c>
      <c r="D10" s="3">
        <v>2.0978515433967231</v>
      </c>
      <c r="E10" s="3">
        <v>2.43861756792771</v>
      </c>
    </row>
    <row r="11" spans="1:5" x14ac:dyDescent="0.25">
      <c r="A11" s="4">
        <v>0.09</v>
      </c>
      <c r="B11" s="3">
        <v>1.456030875372285</v>
      </c>
      <c r="C11" s="3">
        <v>1.761951841271616</v>
      </c>
      <c r="D11" s="3">
        <v>2.4119863446333101</v>
      </c>
      <c r="E11" s="3">
        <v>2.751132919967108</v>
      </c>
    </row>
    <row r="12" spans="1:5" x14ac:dyDescent="0.25">
      <c r="A12" s="4">
        <v>0.1</v>
      </c>
      <c r="B12" s="3">
        <v>1.6239268174336829</v>
      </c>
      <c r="C12" s="3">
        <v>1.965591017190357</v>
      </c>
      <c r="D12" s="3">
        <v>2.7367612447956868</v>
      </c>
      <c r="E12" s="3">
        <v>3.0658347279115401</v>
      </c>
    </row>
    <row r="13" spans="1:5" x14ac:dyDescent="0.25">
      <c r="A13" s="4">
        <v>0.11</v>
      </c>
      <c r="B13" s="3">
        <v>1.7933110450057239</v>
      </c>
      <c r="C13" s="3">
        <v>2.1706663583278019</v>
      </c>
      <c r="D13" s="3">
        <v>3.071422313541639</v>
      </c>
      <c r="E13" s="3">
        <v>3.3898032713546642</v>
      </c>
    </row>
    <row r="14" spans="1:5" x14ac:dyDescent="0.25">
      <c r="A14" s="4">
        <v>0.12</v>
      </c>
      <c r="B14" s="3">
        <v>1.963809213733267</v>
      </c>
      <c r="C14" s="3">
        <v>2.3778122010685152</v>
      </c>
      <c r="D14" s="3">
        <v>3.4141619882946079</v>
      </c>
      <c r="E14" s="3">
        <v>3.7228383026718821</v>
      </c>
    </row>
    <row r="15" spans="1:5" x14ac:dyDescent="0.25">
      <c r="A15" s="4">
        <v>0.13</v>
      </c>
      <c r="B15" s="3">
        <v>2.135782538410619</v>
      </c>
      <c r="C15" s="3">
        <v>2.5866518746278442</v>
      </c>
      <c r="D15" s="3">
        <v>3.7651800041248742</v>
      </c>
      <c r="E15" s="3">
        <v>4.0627763070308394</v>
      </c>
    </row>
    <row r="16" spans="1:5" x14ac:dyDescent="0.25">
      <c r="A16" s="4">
        <v>0.14000000000000001</v>
      </c>
      <c r="B16" s="3">
        <v>2.309248160423842</v>
      </c>
      <c r="C16" s="3">
        <v>2.7971415412184939</v>
      </c>
      <c r="D16" s="3">
        <v>4.1233737708354559</v>
      </c>
      <c r="E16" s="3">
        <v>4.409519334887908</v>
      </c>
    </row>
    <row r="17" spans="1:5" x14ac:dyDescent="0.25">
      <c r="A17" s="4">
        <v>0.15</v>
      </c>
      <c r="B17" s="3">
        <v>2.4839038339070658</v>
      </c>
      <c r="C17" s="3">
        <v>3.010071509447088</v>
      </c>
      <c r="D17" s="3">
        <v>4.4897918720516179</v>
      </c>
      <c r="E17" s="3">
        <v>4.7631556309666658</v>
      </c>
    </row>
    <row r="18" spans="1:5" x14ac:dyDescent="0.25">
      <c r="A18" s="4">
        <v>0.16</v>
      </c>
      <c r="B18" s="3">
        <v>2.6599028296400982</v>
      </c>
      <c r="C18" s="3">
        <v>3.2250928821939762</v>
      </c>
      <c r="D18" s="3">
        <v>4.8649735998529957</v>
      </c>
      <c r="E18" s="3">
        <v>5.1230413744171068</v>
      </c>
    </row>
    <row r="19" spans="1:5" x14ac:dyDescent="0.25">
      <c r="A19" s="4">
        <v>0.17</v>
      </c>
      <c r="B19" s="3">
        <v>2.8379635608596461</v>
      </c>
      <c r="C19" s="3">
        <v>3.441940838536079</v>
      </c>
      <c r="D19" s="3">
        <v>5.2488846785991852</v>
      </c>
      <c r="E19" s="3">
        <v>5.4888931219358676</v>
      </c>
    </row>
    <row r="20" spans="1:5" x14ac:dyDescent="0.25">
      <c r="A20" s="4">
        <v>0.18</v>
      </c>
      <c r="B20" s="3">
        <v>3.0177979209213852</v>
      </c>
      <c r="C20" s="3">
        <v>3.660813789753445</v>
      </c>
      <c r="D20" s="3">
        <v>5.6422966853956424</v>
      </c>
      <c r="E20" s="3">
        <v>5.8600853239082138</v>
      </c>
    </row>
    <row r="21" spans="1:5" x14ac:dyDescent="0.25">
      <c r="A21" s="4">
        <v>0.19</v>
      </c>
      <c r="B21" s="3">
        <v>3.19910681587496</v>
      </c>
      <c r="C21" s="3">
        <v>3.8826389076002892</v>
      </c>
      <c r="D21" s="3">
        <v>6.0453591198767791</v>
      </c>
      <c r="E21" s="3">
        <v>6.2399873483358856</v>
      </c>
    </row>
    <row r="22" spans="1:5" x14ac:dyDescent="0.25">
      <c r="A22" s="4">
        <v>0.2</v>
      </c>
      <c r="B22" s="3">
        <v>3.381794921653885</v>
      </c>
      <c r="C22" s="3">
        <v>4.1071228360760168</v>
      </c>
      <c r="D22" s="3">
        <v>6.4579221505095044</v>
      </c>
      <c r="E22" s="3">
        <v>6.6307274962145151</v>
      </c>
    </row>
    <row r="23" spans="1:5" x14ac:dyDescent="0.25">
      <c r="A23" s="4">
        <v>0.21</v>
      </c>
      <c r="B23" s="3">
        <v>3.566866171474278</v>
      </c>
      <c r="C23" s="3">
        <v>4.3340975948293599</v>
      </c>
      <c r="D23" s="3">
        <v>6.8800313698474476</v>
      </c>
      <c r="E23" s="3">
        <v>7.0323649705033553</v>
      </c>
    </row>
    <row r="24" spans="1:5" x14ac:dyDescent="0.25">
      <c r="A24" s="4">
        <v>0.22</v>
      </c>
      <c r="B24" s="3">
        <v>3.754334100928999</v>
      </c>
      <c r="C24" s="3">
        <v>4.5641113825198536</v>
      </c>
      <c r="D24" s="3">
        <v>7.3116303066346502</v>
      </c>
      <c r="E24" s="3">
        <v>7.4458934515826236</v>
      </c>
    </row>
    <row r="25" spans="1:5" x14ac:dyDescent="0.25">
      <c r="A25" s="4">
        <v>0.23</v>
      </c>
      <c r="B25" s="3">
        <v>3.9439250763965918</v>
      </c>
      <c r="C25" s="3">
        <v>4.7975873747898339</v>
      </c>
      <c r="D25" s="3">
        <v>7.7546469635793436</v>
      </c>
      <c r="E25" s="3">
        <v>7.873594933657869</v>
      </c>
    </row>
    <row r="26" spans="1:5" x14ac:dyDescent="0.25">
      <c r="A26" s="4">
        <v>0.24</v>
      </c>
      <c r="B26" s="3">
        <v>4.1353544242139462</v>
      </c>
      <c r="C26" s="3">
        <v>5.03538601151444</v>
      </c>
      <c r="D26" s="3">
        <v>8.2084787259290515</v>
      </c>
      <c r="E26" s="3">
        <v>8.3145439886058519</v>
      </c>
    </row>
    <row r="27" spans="1:5" x14ac:dyDescent="0.25">
      <c r="A27" s="4">
        <v>0.25</v>
      </c>
      <c r="B27" s="3">
        <v>4.3289134140244574</v>
      </c>
      <c r="C27" s="3">
        <v>5.2773163314449194</v>
      </c>
      <c r="D27" s="3">
        <v>8.6725470177417918</v>
      </c>
      <c r="E27" s="3">
        <v>8.7690279232885313</v>
      </c>
    </row>
    <row r="28" spans="1:5" x14ac:dyDescent="0.25">
      <c r="A28" s="4">
        <v>0.26</v>
      </c>
      <c r="B28" s="3">
        <v>4.5256386811078197</v>
      </c>
      <c r="C28" s="3">
        <v>5.5234513016304048</v>
      </c>
      <c r="D28" s="3">
        <v>9.1497377378812956</v>
      </c>
      <c r="E28" s="3">
        <v>9.236125697160908</v>
      </c>
    </row>
    <row r="29" spans="1:5" x14ac:dyDescent="0.25">
      <c r="A29" s="4">
        <v>0.27</v>
      </c>
      <c r="B29" s="3">
        <v>4.7262513606299166</v>
      </c>
      <c r="C29" s="3">
        <v>5.7736370424246033</v>
      </c>
      <c r="D29" s="3">
        <v>9.6421108016578554</v>
      </c>
      <c r="E29" s="3">
        <v>9.7143074171913302</v>
      </c>
    </row>
    <row r="30" spans="1:5" x14ac:dyDescent="0.25">
      <c r="A30" s="4">
        <v>0.28000000000000003</v>
      </c>
      <c r="B30" s="3">
        <v>4.9305626790883137</v>
      </c>
      <c r="C30" s="3">
        <v>6.0280505435462386</v>
      </c>
      <c r="D30" s="3">
        <v>10.148061782656709</v>
      </c>
      <c r="E30" s="3">
        <v>10.20404940205346</v>
      </c>
    </row>
    <row r="31" spans="1:5" x14ac:dyDescent="0.25">
      <c r="A31" s="4">
        <v>0.28999999999999998</v>
      </c>
      <c r="B31" s="3">
        <v>5.1386089631463436</v>
      </c>
      <c r="C31" s="3">
        <v>6.2865485405111601</v>
      </c>
      <c r="D31" s="3">
        <v>10.668368961230559</v>
      </c>
      <c r="E31" s="3">
        <v>10.705986170979781</v>
      </c>
    </row>
    <row r="32" spans="1:5" x14ac:dyDescent="0.25">
      <c r="A32" s="26">
        <v>0.3</v>
      </c>
      <c r="B32" s="3">
        <v>5.3475550697880205</v>
      </c>
      <c r="C32" s="3">
        <v>6.5453600274890666</v>
      </c>
      <c r="D32" s="3">
        <v>11.200566284056411</v>
      </c>
      <c r="E32" s="3">
        <v>11.21119732317915</v>
      </c>
    </row>
    <row r="33" spans="1:17" x14ac:dyDescent="0.25">
      <c r="A33" s="26">
        <v>0.34900000000000009</v>
      </c>
      <c r="B33" s="3">
        <v>6.4321743761281045</v>
      </c>
      <c r="C33" s="3">
        <v>7.9159720160829368</v>
      </c>
      <c r="D33" s="3">
        <v>14.09742472599771</v>
      </c>
      <c r="E33" s="3">
        <v>13.914814591886939</v>
      </c>
    </row>
    <row r="34" spans="1:17" x14ac:dyDescent="0.25">
      <c r="A34" s="26">
        <v>0.39457000000000009</v>
      </c>
      <c r="B34" s="3">
        <v>7.5277982225883413</v>
      </c>
      <c r="C34" s="3">
        <v>9.3108598898671389</v>
      </c>
      <c r="D34" s="3">
        <v>17.276405714627721</v>
      </c>
      <c r="E34" s="3">
        <v>16.664387043376411</v>
      </c>
    </row>
    <row r="35" spans="1:17" x14ac:dyDescent="0.25">
      <c r="A35" s="26">
        <v>0.43695010000000012</v>
      </c>
      <c r="B35" s="3">
        <v>8.6336497123212226</v>
      </c>
      <c r="C35" s="3">
        <v>10.72897337370148</v>
      </c>
      <c r="D35" s="3">
        <v>20.699014680671461</v>
      </c>
      <c r="E35" s="3">
        <v>19.426771320397279</v>
      </c>
    </row>
    <row r="36" spans="1:17" x14ac:dyDescent="0.25">
      <c r="A36" s="26">
        <v>0.4763635930000002</v>
      </c>
      <c r="B36" s="3">
        <v>9.7571256713987218</v>
      </c>
      <c r="C36" s="3">
        <v>12.190427501923912</v>
      </c>
      <c r="D36" s="3">
        <v>24.496736936466739</v>
      </c>
      <c r="E36" s="3">
        <v>22.203667498158431</v>
      </c>
    </row>
    <row r="37" spans="1:17" x14ac:dyDescent="0.25">
      <c r="A37" s="26">
        <v>0.5</v>
      </c>
      <c r="B37" s="3">
        <v>10.47534811352249</v>
      </c>
      <c r="C37" s="3">
        <v>13.143998107866048</v>
      </c>
      <c r="D37" s="3">
        <v>27.101298094303171</v>
      </c>
      <c r="E37" s="3">
        <v>23.96684089528442</v>
      </c>
    </row>
    <row r="38" spans="1:17" x14ac:dyDescent="0.25">
      <c r="A38" s="26">
        <v>0.51301814149000013</v>
      </c>
      <c r="B38" s="3">
        <v>10.887519130133111</v>
      </c>
      <c r="C38" s="3">
        <v>13.701690524656021</v>
      </c>
      <c r="D38" s="3">
        <v>28.670967774900657</v>
      </c>
      <c r="E38" s="3">
        <v>24.97073059203186</v>
      </c>
    </row>
    <row r="39" spans="1:17" x14ac:dyDescent="0.25">
      <c r="A39" s="26">
        <v>0.53500000000000003</v>
      </c>
      <c r="B39" s="3">
        <v>11.610678268022468</v>
      </c>
      <c r="C39" s="3">
        <v>14.69248243847114</v>
      </c>
      <c r="D39" s="3">
        <v>31.547251897226111</v>
      </c>
      <c r="E39" s="3">
        <v>26.735443358456031</v>
      </c>
    </row>
    <row r="40" spans="1:17" x14ac:dyDescent="0.25">
      <c r="A40" s="26">
        <v>0.54710687158570015</v>
      </c>
      <c r="B40" s="3">
        <v>12.031190061034421</v>
      </c>
      <c r="C40" s="3">
        <v>15.2621525052488</v>
      </c>
      <c r="D40" s="3">
        <v>33.24789389994217</v>
      </c>
      <c r="E40" s="3">
        <v>27.742369171656723</v>
      </c>
    </row>
    <row r="41" spans="1:17" x14ac:dyDescent="0.25">
      <c r="A41" s="26">
        <v>0.56755</v>
      </c>
      <c r="B41" s="3">
        <v>12.78258321563222</v>
      </c>
      <c r="C41" s="3">
        <v>16.269271364832601</v>
      </c>
      <c r="D41" s="3">
        <v>36.30751935613133</v>
      </c>
      <c r="E41" s="3">
        <v>29.492550291083269</v>
      </c>
      <c r="N41" s="3"/>
      <c r="O41" s="3"/>
      <c r="P41" s="3"/>
      <c r="Q41" s="3"/>
    </row>
    <row r="42" spans="1:17" x14ac:dyDescent="0.25">
      <c r="A42" s="26">
        <v>0.57880939057470115</v>
      </c>
      <c r="B42" s="3">
        <v>13.21935470670326</v>
      </c>
      <c r="C42" s="3">
        <v>16.853800891600191</v>
      </c>
      <c r="D42" s="3">
        <v>38.135375829701971</v>
      </c>
      <c r="E42" s="3">
        <v>30.482987447681683</v>
      </c>
      <c r="N42" s="3"/>
      <c r="O42" s="3"/>
      <c r="P42" s="3"/>
      <c r="Q42" s="3"/>
    </row>
    <row r="43" spans="1:17" x14ac:dyDescent="0.25">
      <c r="A43" s="26">
        <v>0.59782150000000001</v>
      </c>
      <c r="B43" s="3">
        <v>13.993754182118499</v>
      </c>
      <c r="C43" s="3">
        <v>17.905916365588489</v>
      </c>
      <c r="D43" s="3">
        <v>41.532689109256012</v>
      </c>
      <c r="E43" s="3">
        <v>32.227513131146758</v>
      </c>
      <c r="N43" s="3"/>
      <c r="O43" s="3"/>
      <c r="P43" s="3"/>
      <c r="Q43" s="3"/>
    </row>
    <row r="44" spans="1:17" x14ac:dyDescent="0.25">
      <c r="A44" s="26">
        <v>0.60829273323447219</v>
      </c>
      <c r="B44" s="3">
        <v>14.44206128823482</v>
      </c>
      <c r="C44" s="3">
        <v>18.520828865633689</v>
      </c>
      <c r="D44" s="3">
        <v>43.563863891352739</v>
      </c>
      <c r="E44" s="3">
        <v>33.2521495321622</v>
      </c>
      <c r="N44" s="3"/>
      <c r="O44" s="3"/>
      <c r="P44" s="3"/>
      <c r="Q44" s="3"/>
    </row>
    <row r="45" spans="1:17" x14ac:dyDescent="0.25">
      <c r="A45" s="26">
        <v>0.62597399500000006</v>
      </c>
      <c r="B45" s="3">
        <v>15.24513488546231</v>
      </c>
      <c r="C45" s="3">
        <v>19.616679624654953</v>
      </c>
      <c r="D45" s="3">
        <v>47.277702884857334</v>
      </c>
      <c r="E45" s="3">
        <v>35.10290427702558</v>
      </c>
      <c r="N45" s="3"/>
      <c r="O45" s="3"/>
      <c r="P45" s="3"/>
      <c r="Q45" s="3"/>
    </row>
    <row r="46" spans="1:17" x14ac:dyDescent="0.25">
      <c r="A46" s="26">
        <v>0.63571224190805919</v>
      </c>
      <c r="B46" s="3">
        <v>15.71761687013408</v>
      </c>
      <c r="C46" s="3">
        <v>20.258920307768641</v>
      </c>
      <c r="D46" s="3">
        <v>49.524707369787919</v>
      </c>
      <c r="E46" s="3">
        <v>36.197905905851322</v>
      </c>
      <c r="N46" s="3"/>
      <c r="O46" s="3"/>
      <c r="P46" s="3"/>
      <c r="Q46" s="3"/>
    </row>
    <row r="47" spans="1:17" x14ac:dyDescent="0.25">
      <c r="A47" s="26">
        <v>0.65215581535000011</v>
      </c>
      <c r="B47" s="3">
        <v>16.56529893444473</v>
      </c>
      <c r="C47" s="3">
        <v>21.40533687490775</v>
      </c>
      <c r="D47" s="3">
        <v>53.707429177485139</v>
      </c>
      <c r="E47" s="3">
        <v>38.189632185778819</v>
      </c>
      <c r="N47" s="3"/>
      <c r="O47" s="3"/>
      <c r="P47" s="3"/>
      <c r="Q47" s="3"/>
    </row>
    <row r="48" spans="1:17" x14ac:dyDescent="0.25">
      <c r="A48" s="26">
        <v>0.66121238497449508</v>
      </c>
      <c r="B48" s="3">
        <v>17.058165684024011</v>
      </c>
      <c r="C48" s="3">
        <v>22.076637197441041</v>
      </c>
      <c r="D48" s="3">
        <v>56.228193705872791</v>
      </c>
      <c r="E48" s="3">
        <v>39.363991641868481</v>
      </c>
      <c r="N48" s="3"/>
      <c r="O48" s="3"/>
      <c r="P48" s="3"/>
      <c r="Q48" s="3"/>
    </row>
    <row r="49" spans="1:17" x14ac:dyDescent="0.25">
      <c r="A49" s="26">
        <v>0.67650490827550014</v>
      </c>
      <c r="B49" s="3">
        <v>17.92862558805599</v>
      </c>
      <c r="C49" s="3">
        <v>23.30399609926754</v>
      </c>
      <c r="D49" s="3">
        <v>60.843542318320139</v>
      </c>
      <c r="E49" s="3">
        <v>41.475178525885731</v>
      </c>
      <c r="N49" s="3"/>
      <c r="O49" s="3"/>
      <c r="P49" s="3"/>
      <c r="Q49" s="3"/>
    </row>
    <row r="50" spans="1:17" x14ac:dyDescent="0.25">
      <c r="A50" s="26">
        <v>0.68492751802628038</v>
      </c>
      <c r="B50" s="3">
        <v>18.42786380764684</v>
      </c>
      <c r="C50" s="3">
        <v>24.035443692926531</v>
      </c>
      <c r="D50" s="3">
        <v>63.575700735986629</v>
      </c>
      <c r="E50" s="3">
        <v>42.713295660195271</v>
      </c>
      <c r="N50" s="3"/>
      <c r="O50" s="3"/>
      <c r="P50" s="3"/>
      <c r="Q50" s="3"/>
    </row>
    <row r="51" spans="1:17" x14ac:dyDescent="0.25">
      <c r="A51" s="26">
        <v>0.69914956469621514</v>
      </c>
      <c r="B51" s="3">
        <v>19.302121692084381</v>
      </c>
      <c r="C51" s="3">
        <v>25.363197838701833</v>
      </c>
      <c r="D51" s="3">
        <v>68.588245561643959</v>
      </c>
      <c r="E51" s="3">
        <v>44.928178994142343</v>
      </c>
      <c r="N51" s="3"/>
      <c r="O51" s="3"/>
      <c r="P51" s="3"/>
      <c r="Q51" s="3"/>
    </row>
    <row r="52" spans="1:17" x14ac:dyDescent="0.25">
      <c r="A52" s="26">
        <v>0.70698259176444078</v>
      </c>
      <c r="B52" s="3">
        <v>19.808679339487881</v>
      </c>
      <c r="C52" s="3">
        <v>26.143597674665831</v>
      </c>
      <c r="D52" s="3">
        <v>71.62233896069651</v>
      </c>
      <c r="E52" s="3">
        <v>46.220542692467006</v>
      </c>
      <c r="N52" s="3"/>
      <c r="O52" s="3"/>
      <c r="P52" s="3"/>
      <c r="Q52" s="3"/>
    </row>
    <row r="53" spans="1:17" x14ac:dyDescent="0.25">
      <c r="A53" s="26">
        <v>0.72020909516748011</v>
      </c>
      <c r="B53" s="3">
        <v>20.716943733787701</v>
      </c>
      <c r="C53" s="3">
        <v>27.556665357678632</v>
      </c>
      <c r="D53" s="3">
        <v>77.190723083576174</v>
      </c>
      <c r="E53" s="3">
        <v>48.530094637778426</v>
      </c>
      <c r="N53" s="3"/>
      <c r="O53" s="3"/>
      <c r="P53" s="3"/>
      <c r="Q53" s="3"/>
    </row>
    <row r="54" spans="1:17" x14ac:dyDescent="0.25">
      <c r="A54" s="26">
        <v>0.72749381034092997</v>
      </c>
      <c r="B54" s="3">
        <v>21.2474839075524</v>
      </c>
      <c r="C54" s="3">
        <v>28.386589589029779</v>
      </c>
      <c r="D54" s="3">
        <v>80.50190198211871</v>
      </c>
      <c r="E54" s="3">
        <v>49.880719342060736</v>
      </c>
      <c r="N54" s="3"/>
      <c r="O54" s="3"/>
      <c r="P54" s="3"/>
      <c r="Q54" s="3"/>
    </row>
    <row r="55" spans="1:17" x14ac:dyDescent="0.25">
      <c r="A55" s="26">
        <v>0.73979445850575654</v>
      </c>
      <c r="B55" s="3">
        <v>22.193111670849589</v>
      </c>
      <c r="C55" s="3">
        <v>29.882666017295708</v>
      </c>
      <c r="D55" s="3">
        <v>86.494851273773207</v>
      </c>
      <c r="E55" s="3">
        <v>52.311391528498788</v>
      </c>
      <c r="N55" s="3"/>
      <c r="O55" s="3"/>
      <c r="P55" s="3"/>
      <c r="Q55" s="3"/>
    </row>
    <row r="56" spans="1:17" x14ac:dyDescent="0.25">
      <c r="A56" s="26">
        <v>0.74656924361706489</v>
      </c>
      <c r="B56" s="3">
        <v>22.741752672096762</v>
      </c>
      <c r="C56" s="3">
        <v>30.76388543367289</v>
      </c>
      <c r="D56" s="3">
        <v>90.034585076275988</v>
      </c>
      <c r="E56" s="3">
        <v>53.727943327050355</v>
      </c>
      <c r="N56" s="3"/>
      <c r="O56" s="3"/>
      <c r="P56" s="3"/>
      <c r="Q56" s="3"/>
    </row>
    <row r="57" spans="1:17" x14ac:dyDescent="0.25">
      <c r="A57" s="26">
        <v>0.7580088464103536</v>
      </c>
      <c r="B57" s="3">
        <v>23.712052777305981</v>
      </c>
      <c r="C57" s="3">
        <v>32.346420995255436</v>
      </c>
      <c r="D57" s="3">
        <v>96.556446632199282</v>
      </c>
      <c r="E57" s="3">
        <v>56.247035181429943</v>
      </c>
      <c r="N57" s="3"/>
      <c r="O57" s="3"/>
      <c r="P57" s="3"/>
      <c r="Q57" s="3"/>
    </row>
    <row r="58" spans="1:17" x14ac:dyDescent="0.25">
      <c r="A58" s="26">
        <v>0.76430939656387031</v>
      </c>
      <c r="B58" s="3">
        <v>24.26960695402872</v>
      </c>
      <c r="C58" s="3">
        <v>33.29421638105989</v>
      </c>
      <c r="D58" s="3">
        <v>100.52691119423579</v>
      </c>
      <c r="E58" s="3">
        <v>57.711523694101899</v>
      </c>
      <c r="N58" s="3"/>
      <c r="O58" s="3"/>
      <c r="P58" s="3"/>
      <c r="Q58" s="3"/>
    </row>
    <row r="59" spans="1:17" x14ac:dyDescent="0.25">
      <c r="A59" s="26">
        <v>0.77494822716162881</v>
      </c>
      <c r="B59" s="3">
        <v>25.25862293069876</v>
      </c>
      <c r="C59" s="3">
        <v>35.073913657799871</v>
      </c>
      <c r="D59" s="3">
        <v>107.95253248179961</v>
      </c>
      <c r="E59" s="3">
        <v>60.330602394312756</v>
      </c>
      <c r="N59" s="3"/>
      <c r="O59" s="3"/>
      <c r="P59" s="3"/>
      <c r="Q59" s="3"/>
    </row>
    <row r="60" spans="1:17" x14ac:dyDescent="0.25">
      <c r="A60" s="26">
        <v>0.78080773880439946</v>
      </c>
      <c r="B60" s="3">
        <v>25.837980447831413</v>
      </c>
      <c r="C60" s="3">
        <v>36.156679022743639</v>
      </c>
      <c r="D60" s="3">
        <v>112.63355381721689</v>
      </c>
      <c r="E60" s="3">
        <v>61.849453562109709</v>
      </c>
      <c r="N60" s="3"/>
      <c r="O60" s="3"/>
      <c r="P60" s="3"/>
      <c r="Q60" s="3"/>
    </row>
    <row r="61" spans="1:17" x14ac:dyDescent="0.25">
      <c r="A61" s="26">
        <v>0.79070185126031478</v>
      </c>
      <c r="B61" s="3">
        <v>26.87300950773994</v>
      </c>
      <c r="C61" s="3">
        <v>38.143539482009878</v>
      </c>
      <c r="D61" s="3">
        <v>121.82072084139911</v>
      </c>
      <c r="E61" s="3">
        <v>64.566118156486525</v>
      </c>
      <c r="N61" s="3"/>
      <c r="O61" s="3"/>
      <c r="P61" s="3"/>
      <c r="Q61" s="3"/>
    </row>
    <row r="62" spans="1:17" x14ac:dyDescent="0.25">
      <c r="A62" s="26">
        <v>0.79615119708809146</v>
      </c>
      <c r="B62" s="3">
        <v>27.475413489715699</v>
      </c>
      <c r="C62" s="3">
        <v>39.325363631352857</v>
      </c>
      <c r="D62" s="3">
        <v>127.7791617452114</v>
      </c>
      <c r="E62" s="3">
        <v>66.179703421468275</v>
      </c>
      <c r="N62" s="3"/>
      <c r="O62" s="3"/>
      <c r="P62" s="3"/>
      <c r="Q62" s="3"/>
    </row>
    <row r="63" spans="1:17" x14ac:dyDescent="0.25">
      <c r="A63" s="26">
        <v>0.80535272167209282</v>
      </c>
      <c r="B63" s="3">
        <v>28.552109150297369</v>
      </c>
      <c r="C63" s="3">
        <v>41.48461383701045</v>
      </c>
      <c r="D63" s="3">
        <v>139.59113634528862</v>
      </c>
      <c r="E63" s="3">
        <v>69.100636977142784</v>
      </c>
      <c r="N63" s="3"/>
      <c r="O63" s="3"/>
      <c r="P63" s="3"/>
      <c r="Q63" s="3"/>
    </row>
    <row r="64" spans="1:17" x14ac:dyDescent="0.25">
      <c r="A64" s="26">
        <v>0.81042061329192516</v>
      </c>
      <c r="B64" s="3">
        <v>29.177038674737947</v>
      </c>
      <c r="C64" s="3">
        <v>42.774150185827999</v>
      </c>
      <c r="D64" s="3">
        <v>147.32684408827899</v>
      </c>
      <c r="E64" s="3">
        <v>70.81741687310641</v>
      </c>
      <c r="N64" s="3"/>
      <c r="O64" s="3"/>
      <c r="P64" s="3"/>
      <c r="Q64" s="3"/>
    </row>
    <row r="65" spans="1:17" x14ac:dyDescent="0.25">
      <c r="A65" s="26">
        <v>0.8189780311550463</v>
      </c>
      <c r="B65" s="3">
        <v>30.286038290700532</v>
      </c>
      <c r="C65" s="3">
        <v>45.130901607769331</v>
      </c>
      <c r="D65" s="3">
        <v>163.1256723222734</v>
      </c>
      <c r="E65" s="3">
        <v>73.898759324683013</v>
      </c>
      <c r="N65" s="3"/>
      <c r="O65" s="3"/>
      <c r="P65" s="3"/>
      <c r="Q65" s="3"/>
    </row>
    <row r="66" spans="1:17" x14ac:dyDescent="0.25">
      <c r="A66" s="26">
        <v>0.82369117036149031</v>
      </c>
      <c r="B66" s="3">
        <v>30.937665378986541</v>
      </c>
      <c r="C66" s="3">
        <v>46.535830669128167</v>
      </c>
      <c r="D66" s="3">
        <v>173.63323056075311</v>
      </c>
      <c r="E66" s="3">
        <v>75.703831094621634</v>
      </c>
      <c r="N66" s="3"/>
      <c r="O66" s="3"/>
      <c r="P66" s="3"/>
      <c r="Q66" s="3"/>
    </row>
    <row r="67" spans="1:17" x14ac:dyDescent="0.25">
      <c r="A67" s="26">
        <v>0.83164956897419307</v>
      </c>
      <c r="B67" s="3">
        <v>32.142359524509615</v>
      </c>
      <c r="C67" s="3">
        <v>49.126239411311339</v>
      </c>
      <c r="D67" s="3">
        <v>195.15336165935631</v>
      </c>
      <c r="E67" s="3">
        <v>78.949467274422076</v>
      </c>
      <c r="N67" s="3"/>
      <c r="O67" s="3"/>
      <c r="P67" s="3"/>
      <c r="Q67" s="3"/>
    </row>
    <row r="68" spans="1:17" x14ac:dyDescent="0.25">
      <c r="A68" s="26">
        <v>0.836032788436186</v>
      </c>
      <c r="B68" s="3">
        <v>32.862589753462345</v>
      </c>
      <c r="C68" s="3">
        <v>50.669593854365871</v>
      </c>
      <c r="D68" s="3">
        <v>208.9073085283471</v>
      </c>
      <c r="E68" s="3">
        <v>80.849531768775648</v>
      </c>
      <c r="N68" s="3"/>
      <c r="O68" s="3"/>
      <c r="P68" s="3"/>
      <c r="Q68" s="3"/>
    </row>
    <row r="69" spans="1:17" x14ac:dyDescent="0.25">
      <c r="A69" s="26">
        <v>0.84343409914599965</v>
      </c>
      <c r="B69" s="3">
        <v>34.168621100366636</v>
      </c>
      <c r="C69" s="3">
        <v>53.452576849949097</v>
      </c>
      <c r="D69" s="3">
        <v>235.97059479396279</v>
      </c>
      <c r="E69" s="3">
        <v>84.252638782179687</v>
      </c>
      <c r="N69" s="3"/>
      <c r="O69" s="3"/>
      <c r="P69" s="3"/>
      <c r="Q69" s="3"/>
    </row>
    <row r="70" spans="1:17" x14ac:dyDescent="0.25">
      <c r="A70" s="26">
        <v>0.84751049324565297</v>
      </c>
      <c r="B70" s="3">
        <v>34.936224399521393</v>
      </c>
      <c r="C70" s="3">
        <v>55.082067270851532</v>
      </c>
      <c r="D70" s="3">
        <v>253.90565608240522</v>
      </c>
      <c r="E70" s="3">
        <v>86.245844044410163</v>
      </c>
    </row>
    <row r="71" spans="1:17" x14ac:dyDescent="0.25">
      <c r="A71" s="26">
        <v>0.85439371220577964</v>
      </c>
      <c r="B71" s="3">
        <v>36.312411608057658</v>
      </c>
      <c r="C71" s="3">
        <v>58.01489313182465</v>
      </c>
      <c r="D71" s="3">
        <v>308.61415639086488</v>
      </c>
      <c r="E71" s="3">
        <v>89.906129241380356</v>
      </c>
    </row>
    <row r="72" spans="1:17" x14ac:dyDescent="0.25">
      <c r="A72" s="26">
        <v>0.85818475871845734</v>
      </c>
      <c r="B72" s="3">
        <v>37.111769097784872</v>
      </c>
      <c r="C72" s="3">
        <v>59.732026622235175</v>
      </c>
      <c r="E72" s="3">
        <v>92.111290740295104</v>
      </c>
    </row>
    <row r="73" spans="1:17" x14ac:dyDescent="0.25">
      <c r="A73" s="26">
        <v>0.86458615235137504</v>
      </c>
      <c r="B73" s="3">
        <v>38.533104556189144</v>
      </c>
      <c r="C73" s="3">
        <v>62.794167016631924</v>
      </c>
      <c r="E73" s="3">
        <v>96.323071074328453</v>
      </c>
    </row>
    <row r="74" spans="1:17" x14ac:dyDescent="0.25">
      <c r="A74" s="26">
        <v>0.86811182560816536</v>
      </c>
      <c r="B74" s="3">
        <v>39.354972572443508</v>
      </c>
      <c r="C74" s="3">
        <v>64.568305673413604</v>
      </c>
      <c r="E74" s="3">
        <v>98.964106992124186</v>
      </c>
    </row>
    <row r="75" spans="1:17" x14ac:dyDescent="0.25">
      <c r="A75" s="26">
        <v>0.87406512168677875</v>
      </c>
      <c r="B75" s="3">
        <v>40.825436622714832</v>
      </c>
      <c r="C75" s="3">
        <v>67.739949152606201</v>
      </c>
      <c r="E75" s="3">
        <v>104.0211908173096</v>
      </c>
    </row>
    <row r="76" spans="1:17" x14ac:dyDescent="0.25">
      <c r="A76" s="26">
        <v>0.8773439978155938</v>
      </c>
      <c r="B76" s="3">
        <v>41.693777972765673</v>
      </c>
      <c r="C76" s="3">
        <v>69.586844716851431</v>
      </c>
      <c r="E76" s="3">
        <v>107.16723266539829</v>
      </c>
    </row>
    <row r="77" spans="1:17" x14ac:dyDescent="0.25">
      <c r="A77" s="26">
        <v>0.88288056316870434</v>
      </c>
      <c r="B77" s="3">
        <v>43.286344943771965</v>
      </c>
      <c r="C77" s="3">
        <v>72.896413425215655</v>
      </c>
      <c r="E77" s="3">
        <v>113.12471040173141</v>
      </c>
    </row>
    <row r="78" spans="1:17" x14ac:dyDescent="0.25">
      <c r="A78" s="26">
        <v>0.88592991796850218</v>
      </c>
      <c r="B78" s="3">
        <v>44.228552352874786</v>
      </c>
      <c r="C78" s="3">
        <v>74.861693803003234</v>
      </c>
      <c r="E78" s="3">
        <v>116.8184996534799</v>
      </c>
    </row>
    <row r="79" spans="1:17" x14ac:dyDescent="0.25">
      <c r="A79" s="26">
        <v>0.89107892374689501</v>
      </c>
      <c r="B79" s="3">
        <v>45.917765410711425</v>
      </c>
      <c r="C79" s="3">
        <v>78.438406908221424</v>
      </c>
      <c r="E79" s="3">
        <v>123.90156031939689</v>
      </c>
    </row>
    <row r="80" spans="1:17" x14ac:dyDescent="0.25">
      <c r="A80" s="26">
        <v>0.89391482371070707</v>
      </c>
      <c r="B80" s="3">
        <v>46.900212293215077</v>
      </c>
      <c r="C80" s="3">
        <v>80.557889374664228</v>
      </c>
      <c r="E80" s="3">
        <v>128.463854917015</v>
      </c>
    </row>
    <row r="81" spans="1:5" x14ac:dyDescent="0.25">
      <c r="A81" s="26">
        <v>0.89870339908461239</v>
      </c>
      <c r="B81" s="3">
        <v>48.647703790138145</v>
      </c>
      <c r="C81" s="3">
        <v>84.396471812659939</v>
      </c>
      <c r="E81" s="3">
        <v>137.81530559096629</v>
      </c>
    </row>
    <row r="82" spans="1:5" x14ac:dyDescent="0.25">
      <c r="A82" s="26">
        <v>0.90134078605095758</v>
      </c>
      <c r="B82" s="3">
        <v>49.657727851877389</v>
      </c>
      <c r="C82" s="3">
        <v>86.684700947944535</v>
      </c>
      <c r="E82" s="3">
        <v>144.29466289228418</v>
      </c>
    </row>
    <row r="83" spans="1:5" x14ac:dyDescent="0.25">
      <c r="A83" s="26">
        <v>0.90579416114868949</v>
      </c>
      <c r="B83" s="3">
        <v>51.435222705386551</v>
      </c>
      <c r="C83" s="3">
        <v>90.933719075442909</v>
      </c>
      <c r="E83" s="3">
        <v>157.91795122284501</v>
      </c>
    </row>
    <row r="84" spans="1:5" x14ac:dyDescent="0.25">
      <c r="A84" s="26">
        <v>0.90824693102739051</v>
      </c>
      <c r="B84" s="3">
        <v>52.450890245381373</v>
      </c>
      <c r="C84" s="3">
        <v>93.498015385801239</v>
      </c>
      <c r="E84" s="3">
        <v>167.03813817829808</v>
      </c>
    </row>
    <row r="85" spans="1:5" x14ac:dyDescent="0.25">
      <c r="A85" s="26">
        <v>0.91238856986828121</v>
      </c>
      <c r="B85" s="3">
        <v>54.224170280965588</v>
      </c>
      <c r="C85" s="3">
        <v>98.255299497940698</v>
      </c>
      <c r="E85" s="3">
        <v>185.89607318448921</v>
      </c>
    </row>
    <row r="86" spans="1:5" x14ac:dyDescent="0.25">
      <c r="A86" s="26">
        <v>0.91852136997750156</v>
      </c>
      <c r="B86" s="3">
        <v>57.018036125519934</v>
      </c>
      <c r="C86" s="3">
        <v>106.44595728057929</v>
      </c>
      <c r="E86" s="3">
        <v>224.25823072646071</v>
      </c>
    </row>
    <row r="87" spans="1:5" x14ac:dyDescent="0.25">
      <c r="A87" s="26">
        <v>0.9242248740790765</v>
      </c>
      <c r="B87" s="3">
        <v>59.839071687528346</v>
      </c>
      <c r="C87" s="3">
        <v>115.4825150251592</v>
      </c>
      <c r="E87" s="3">
        <v>280.64712089037249</v>
      </c>
    </row>
    <row r="88" spans="1:5" x14ac:dyDescent="0.25">
      <c r="A88" s="26">
        <v>0.92952913289354111</v>
      </c>
      <c r="B88" s="3">
        <v>62.692850511512169</v>
      </c>
      <c r="C88" s="3">
        <v>125.4025891369012</v>
      </c>
    </row>
    <row r="89" spans="1:5" x14ac:dyDescent="0.25">
      <c r="A89" s="26">
        <v>0.93446209359099319</v>
      </c>
      <c r="B89" s="3">
        <v>65.747695686469669</v>
      </c>
      <c r="C89" s="3">
        <v>136.51944008168289</v>
      </c>
    </row>
    <row r="90" spans="1:5" x14ac:dyDescent="0.25">
      <c r="A90" s="26"/>
    </row>
    <row r="91" spans="1:5" x14ac:dyDescent="0.25">
      <c r="A91" s="26"/>
    </row>
    <row r="92" spans="1:5" x14ac:dyDescent="0.25">
      <c r="A92" s="26"/>
    </row>
    <row r="93" spans="1:5" x14ac:dyDescent="0.25">
      <c r="A93" s="26"/>
    </row>
    <row r="94" spans="1:5" x14ac:dyDescent="0.25">
      <c r="A94" s="26"/>
    </row>
    <row r="95" spans="1:5" x14ac:dyDescent="0.25">
      <c r="A95" s="26"/>
    </row>
    <row r="96" spans="1:5" x14ac:dyDescent="0.25">
      <c r="A96" s="26"/>
    </row>
    <row r="97" spans="1:1" x14ac:dyDescent="0.25">
      <c r="A97" s="26"/>
    </row>
    <row r="98" spans="1:1" x14ac:dyDescent="0.25">
      <c r="A98" s="26"/>
    </row>
    <row r="99" spans="1:1" x14ac:dyDescent="0.25">
      <c r="A99" s="26"/>
    </row>
    <row r="100" spans="1:1" x14ac:dyDescent="0.25">
      <c r="A100" s="26"/>
    </row>
    <row r="101" spans="1:1" x14ac:dyDescent="0.25">
      <c r="A101" s="2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SC1</vt:lpstr>
      <vt:lpstr>SC1_2</vt:lpstr>
      <vt:lpstr>SC1_2_3_up</vt:lpstr>
      <vt:lpstr>SC1_2_3</vt:lpstr>
      <vt:lpstr>sector_SC1</vt:lpstr>
      <vt:lpstr>sector_SC1_2</vt:lpstr>
      <vt:lpstr>sector_SC1_2_3_up</vt:lpstr>
      <vt:lpstr>sector_SC1_2_3</vt:lpstr>
      <vt:lpstr>GRS intensit</vt:lpstr>
      <vt:lpstr>CTB</vt:lpstr>
      <vt:lpstr>PAB</vt:lpstr>
      <vt:lpstr>TE GRS C0</vt:lpstr>
      <vt:lpstr>C3(0,10,2)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Oulid Azouz Noureddine (AMUNDI)</dc:creator>
  <cp:lastModifiedBy>Roncalli Thierry (AMUNDI)</cp:lastModifiedBy>
  <dcterms:created xsi:type="dcterms:W3CDTF">2022-08-02T13:38:18Z</dcterms:created>
  <dcterms:modified xsi:type="dcterms:W3CDTF">2023-02-21T07:43:54Z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2022-08-02T14:01:56Z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08cc40c5-ef93-4ee5-9eb7-97720b0c8666</vt:lpwstr>
  </property>
  <property fmtid="{D5CDD505-2E9C-101B-9397-08002B2CF9AE}" pid="8" name="MSIP_Label_6ac45191-74e4-40a9-a4c5-ab5c9391e33a_ContentBits">
    <vt:lpwstr>0</vt:lpwstr>
  </property>
</Properties>
</file>