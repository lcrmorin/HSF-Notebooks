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804E0697-B929-4B4B-8DE2-BD2ECE0E59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mateBonds-market-issued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9" i="1"/>
  <c r="K9" i="1"/>
  <c r="J9" i="1"/>
  <c r="I9" i="1"/>
  <c r="H9" i="1"/>
  <c r="G9" i="1"/>
  <c r="F9" i="1"/>
  <c r="E9" i="1"/>
  <c r="D9" i="1"/>
  <c r="L5" i="1"/>
  <c r="K5" i="1"/>
  <c r="J5" i="1"/>
  <c r="I5" i="1"/>
  <c r="H5" i="1"/>
  <c r="G5" i="1"/>
  <c r="F5" i="1"/>
  <c r="E5" i="1"/>
  <c r="D5" i="1"/>
  <c r="C13" i="1"/>
  <c r="C9" i="1"/>
  <c r="C5" i="1" l="1"/>
  <c r="C14" i="1" s="1"/>
</calcChain>
</file>

<file path=xl/sharedStrings.xml><?xml version="1.0" encoding="utf-8"?>
<sst xmlns="http://schemas.openxmlformats.org/spreadsheetml/2006/main" count="17" uniqueCount="8">
  <si>
    <t>Market</t>
  </si>
  <si>
    <t>Emerging</t>
  </si>
  <si>
    <t>Developed</t>
  </si>
  <si>
    <t>Supranational</t>
  </si>
  <si>
    <t>Green</t>
  </si>
  <si>
    <t>Total</t>
  </si>
  <si>
    <t>Social</t>
  </si>
  <si>
    <t>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</si>
</sst>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18" xfId="0" applyFill="1" applyBorder="1"/>
    <xf numFmtId="0" fontId="0" fillId="33" borderId="17" xfId="0" applyFill="1" applyBorder="1"/>
    <xf numFmtId="0" fontId="0" fillId="33" borderId="16" xfId="0" applyFill="1" applyBorder="1"/>
    <xf numFmtId="0" fontId="0" fillId="33" borderId="0" xfId="0" applyFill="1"/>
    <xf numFmtId="0" fontId="0" fillId="33" borderId="12" xfId="0" applyFill="1" applyBorder="1"/>
    <xf numFmtId="0" fontId="0" fillId="33" borderId="11" xfId="0" applyFill="1" applyBorder="1"/>
    <xf numFmtId="0" fontId="0" fillId="33" borderId="19" xfId="0" applyFill="1" applyBorder="1"/>
    <xf numFmtId="0" fontId="0" fillId="33" borderId="13" xfId="0" applyFill="1" applyBorder="1"/>
    <xf numFmtId="0" fontId="0" fillId="33" borderId="20" xfId="0" applyFill="1" applyBorder="1"/>
    <xf numFmtId="0" fontId="0" fillId="33" borderId="10" xfId="0" applyFill="1" applyBorder="1"/>
    <xf numFmtId="0" fontId="0" fillId="33" borderId="15" xfId="0" applyFill="1" applyBorder="1"/>
    <xf numFmtId="0" fontId="0" fillId="33" borderId="14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S14" sqref="S14"/>
    </sheetView>
  </sheetViews>
  <sheetFormatPr baseColWidth="10" defaultColWidth="8.88671875" defaultRowHeight="14.4" x14ac:dyDescent="0.3"/>
  <cols>
    <col min="1" max="1" width="18.33203125" style="4" customWidth="1"/>
    <col min="2" max="2" width="15.6640625" style="4" customWidth="1"/>
    <col min="3" max="16384" width="8.88671875" style="4"/>
  </cols>
  <sheetData>
    <row r="1" spans="1:12" ht="15" thickBot="1" x14ac:dyDescent="0.35">
      <c r="A1" s="1"/>
      <c r="B1" s="2" t="s">
        <v>0</v>
      </c>
      <c r="C1" s="3">
        <v>2014</v>
      </c>
      <c r="D1" s="3">
        <v>2015</v>
      </c>
      <c r="E1" s="3">
        <v>2016</v>
      </c>
      <c r="F1" s="3">
        <v>2017</v>
      </c>
      <c r="G1" s="3">
        <v>2018</v>
      </c>
      <c r="H1" s="3">
        <v>2019</v>
      </c>
      <c r="I1" s="3">
        <v>2020</v>
      </c>
      <c r="J1" s="3">
        <v>2021</v>
      </c>
      <c r="K1" s="3">
        <v>2022</v>
      </c>
      <c r="L1" s="2">
        <v>2023</v>
      </c>
    </row>
    <row r="2" spans="1:12" x14ac:dyDescent="0.3">
      <c r="A2" s="1" t="s">
        <v>4</v>
      </c>
      <c r="B2" s="5" t="s">
        <v>2</v>
      </c>
      <c r="C2" s="6">
        <v>27.2</v>
      </c>
      <c r="D2" s="6">
        <v>36.700000000000003</v>
      </c>
      <c r="E2" s="6">
        <v>50.5</v>
      </c>
      <c r="F2" s="6">
        <v>125.4</v>
      </c>
      <c r="G2" s="6">
        <v>141.4</v>
      </c>
      <c r="H2" s="6">
        <v>233.7</v>
      </c>
      <c r="I2" s="6">
        <v>269.3</v>
      </c>
      <c r="J2" s="6">
        <v>488.3</v>
      </c>
      <c r="K2" s="6">
        <v>403.3</v>
      </c>
      <c r="L2" s="5">
        <v>468.6</v>
      </c>
    </row>
    <row r="3" spans="1:12" x14ac:dyDescent="0.3">
      <c r="A3" s="7"/>
      <c r="B3" s="8" t="s">
        <v>1</v>
      </c>
      <c r="C3" s="4">
        <v>0.8</v>
      </c>
      <c r="D3" s="4">
        <v>3.7</v>
      </c>
      <c r="E3" s="4">
        <v>42.4</v>
      </c>
      <c r="F3" s="4">
        <v>52.7</v>
      </c>
      <c r="G3" s="4">
        <v>54.9</v>
      </c>
      <c r="H3" s="4">
        <v>94.8</v>
      </c>
      <c r="I3" s="4">
        <v>76.599999999999994</v>
      </c>
      <c r="J3" s="4">
        <v>183</v>
      </c>
      <c r="K3" s="4">
        <v>199.2</v>
      </c>
      <c r="L3" s="8">
        <v>225.1</v>
      </c>
    </row>
    <row r="4" spans="1:12" ht="15" thickBot="1" x14ac:dyDescent="0.35">
      <c r="A4" s="7"/>
      <c r="B4" s="8" t="s">
        <v>3</v>
      </c>
      <c r="C4" s="4">
        <v>10</v>
      </c>
      <c r="D4" s="4">
        <v>8.6</v>
      </c>
      <c r="E4" s="4">
        <v>10.3</v>
      </c>
      <c r="F4" s="4">
        <v>9.6</v>
      </c>
      <c r="G4" s="4">
        <v>13.4</v>
      </c>
      <c r="H4" s="4">
        <v>14.9</v>
      </c>
      <c r="I4" s="4">
        <v>14.9</v>
      </c>
      <c r="J4" s="4">
        <v>33.6</v>
      </c>
      <c r="K4" s="4">
        <v>46.4</v>
      </c>
      <c r="L4" s="8">
        <v>32.299999999999997</v>
      </c>
    </row>
    <row r="5" spans="1:12" ht="15" thickBot="1" x14ac:dyDescent="0.35">
      <c r="A5" s="9"/>
      <c r="B5" s="10" t="s">
        <v>5</v>
      </c>
      <c r="C5" s="3">
        <f>SUM(C2:C4)</f>
        <v>38</v>
      </c>
      <c r="D5" s="3">
        <f t="shared" ref="D5:L5" si="0">SUM(D2:D4)</f>
        <v>49.000000000000007</v>
      </c>
      <c r="E5" s="3">
        <f t="shared" si="0"/>
        <v>103.2</v>
      </c>
      <c r="F5" s="3">
        <f t="shared" si="0"/>
        <v>187.70000000000002</v>
      </c>
      <c r="G5" s="3">
        <f t="shared" si="0"/>
        <v>209.70000000000002</v>
      </c>
      <c r="H5" s="3">
        <f t="shared" si="0"/>
        <v>343.4</v>
      </c>
      <c r="I5" s="3">
        <f t="shared" si="0"/>
        <v>360.79999999999995</v>
      </c>
      <c r="J5" s="3">
        <f t="shared" si="0"/>
        <v>704.9</v>
      </c>
      <c r="K5" s="3">
        <f t="shared" si="0"/>
        <v>648.9</v>
      </c>
      <c r="L5" s="2">
        <f t="shared" si="0"/>
        <v>726</v>
      </c>
    </row>
    <row r="6" spans="1:12" x14ac:dyDescent="0.3">
      <c r="A6" s="1" t="s">
        <v>6</v>
      </c>
      <c r="B6" s="5" t="s">
        <v>2</v>
      </c>
      <c r="C6" s="6"/>
      <c r="D6" s="6">
        <v>3.4</v>
      </c>
      <c r="E6" s="6">
        <v>2.1</v>
      </c>
      <c r="F6" s="6">
        <v>6.8</v>
      </c>
      <c r="G6" s="6">
        <v>10.5</v>
      </c>
      <c r="H6" s="6">
        <v>15.1</v>
      </c>
      <c r="I6" s="6">
        <v>84.7</v>
      </c>
      <c r="J6" s="6">
        <v>119.9</v>
      </c>
      <c r="K6" s="6">
        <v>131.69999999999999</v>
      </c>
      <c r="L6" s="5">
        <v>127.3</v>
      </c>
    </row>
    <row r="7" spans="1:12" x14ac:dyDescent="0.3">
      <c r="A7" s="7"/>
      <c r="B7" s="8" t="s">
        <v>1</v>
      </c>
      <c r="E7" s="4">
        <v>0.2</v>
      </c>
      <c r="F7" s="4">
        <v>0.2</v>
      </c>
      <c r="G7" s="4">
        <v>2.2000000000000002</v>
      </c>
      <c r="H7" s="4">
        <v>3.4</v>
      </c>
      <c r="I7" s="4">
        <v>99.8</v>
      </c>
      <c r="J7" s="4">
        <v>52.2</v>
      </c>
      <c r="K7" s="4">
        <v>37.799999999999997</v>
      </c>
      <c r="L7" s="8">
        <v>80</v>
      </c>
    </row>
    <row r="8" spans="1:12" ht="15" thickBot="1" x14ac:dyDescent="0.35">
      <c r="A8" s="7"/>
      <c r="B8" s="8" t="s">
        <v>3</v>
      </c>
      <c r="C8" s="4">
        <v>1.1000000000000001</v>
      </c>
      <c r="D8" s="4">
        <v>0.2</v>
      </c>
      <c r="E8" s="4">
        <v>0.6</v>
      </c>
      <c r="F8" s="4">
        <v>2.2000000000000002</v>
      </c>
      <c r="G8" s="4">
        <v>2.4</v>
      </c>
      <c r="H8" s="4">
        <v>3.5</v>
      </c>
      <c r="I8" s="4">
        <v>67.3</v>
      </c>
      <c r="J8" s="4">
        <v>62.4</v>
      </c>
      <c r="K8" s="4">
        <v>20.399999999999999</v>
      </c>
      <c r="L8" s="8">
        <v>9</v>
      </c>
    </row>
    <row r="9" spans="1:12" ht="15" thickBot="1" x14ac:dyDescent="0.35">
      <c r="A9" s="9"/>
      <c r="B9" s="10" t="s">
        <v>5</v>
      </c>
      <c r="C9" s="3">
        <f>SUM(C6:C8)</f>
        <v>1.1000000000000001</v>
      </c>
      <c r="D9" s="3">
        <f t="shared" ref="D9:L9" si="1">SUM(D6:D8)</f>
        <v>3.6</v>
      </c>
      <c r="E9" s="3">
        <f t="shared" si="1"/>
        <v>2.9000000000000004</v>
      </c>
      <c r="F9" s="3">
        <f t="shared" si="1"/>
        <v>9.1999999999999993</v>
      </c>
      <c r="G9" s="3">
        <f t="shared" si="1"/>
        <v>15.1</v>
      </c>
      <c r="H9" s="3">
        <f t="shared" si="1"/>
        <v>22</v>
      </c>
      <c r="I9" s="3">
        <f t="shared" si="1"/>
        <v>251.8</v>
      </c>
      <c r="J9" s="3">
        <f t="shared" si="1"/>
        <v>234.50000000000003</v>
      </c>
      <c r="K9" s="3">
        <f t="shared" si="1"/>
        <v>189.9</v>
      </c>
      <c r="L9" s="2">
        <f t="shared" si="1"/>
        <v>216.3</v>
      </c>
    </row>
    <row r="10" spans="1:12" x14ac:dyDescent="0.3">
      <c r="A10" s="7" t="s">
        <v>7</v>
      </c>
      <c r="B10" s="8" t="s">
        <v>2</v>
      </c>
      <c r="C10" s="4">
        <v>0.8</v>
      </c>
      <c r="D10" s="4">
        <v>1.3</v>
      </c>
      <c r="E10" s="4">
        <v>5.4</v>
      </c>
      <c r="F10" s="4">
        <v>10.4</v>
      </c>
      <c r="G10" s="4">
        <v>12.7</v>
      </c>
      <c r="H10" s="4">
        <v>29.5</v>
      </c>
      <c r="I10" s="4">
        <v>49.7</v>
      </c>
      <c r="J10" s="4">
        <v>87.9</v>
      </c>
      <c r="K10" s="4">
        <v>68.099999999999994</v>
      </c>
      <c r="L10" s="8">
        <v>55.9</v>
      </c>
    </row>
    <row r="11" spans="1:12" x14ac:dyDescent="0.3">
      <c r="A11" s="7"/>
      <c r="B11" s="8" t="s">
        <v>1</v>
      </c>
      <c r="E11" s="4">
        <v>0.3</v>
      </c>
      <c r="F11" s="4">
        <v>1</v>
      </c>
      <c r="G11" s="4">
        <v>3.3</v>
      </c>
      <c r="H11" s="4">
        <v>10.9</v>
      </c>
      <c r="I11" s="4">
        <v>14.6</v>
      </c>
      <c r="J11" s="4">
        <v>47.8</v>
      </c>
      <c r="K11" s="4">
        <v>44.4</v>
      </c>
      <c r="L11" s="8">
        <v>53.8</v>
      </c>
    </row>
    <row r="12" spans="1:12" ht="15" thickBot="1" x14ac:dyDescent="0.35">
      <c r="A12" s="7"/>
      <c r="B12" s="11" t="s">
        <v>3</v>
      </c>
      <c r="C12" s="12">
        <v>2.8</v>
      </c>
      <c r="D12" s="12">
        <v>14.2</v>
      </c>
      <c r="E12" s="12">
        <v>0.2</v>
      </c>
      <c r="F12" s="12">
        <v>8.8000000000000007</v>
      </c>
      <c r="G12" s="12">
        <v>23.7</v>
      </c>
      <c r="H12" s="12">
        <v>27.6</v>
      </c>
      <c r="I12" s="12">
        <v>107.2</v>
      </c>
      <c r="J12" s="12">
        <v>69.7</v>
      </c>
      <c r="K12" s="12">
        <v>51.1</v>
      </c>
      <c r="L12" s="11">
        <v>66.7</v>
      </c>
    </row>
    <row r="13" spans="1:12" ht="15" thickBot="1" x14ac:dyDescent="0.35">
      <c r="A13" s="9"/>
      <c r="B13" s="11" t="s">
        <v>5</v>
      </c>
      <c r="C13" s="12">
        <f>SUM(C10:C12)</f>
        <v>3.5999999999999996</v>
      </c>
      <c r="D13" s="12">
        <f t="shared" ref="D13:L13" si="2">SUM(D10:D12)</f>
        <v>15.5</v>
      </c>
      <c r="E13" s="12">
        <f t="shared" si="2"/>
        <v>5.9</v>
      </c>
      <c r="F13" s="12">
        <f t="shared" si="2"/>
        <v>20.200000000000003</v>
      </c>
      <c r="G13" s="12">
        <f t="shared" si="2"/>
        <v>39.700000000000003</v>
      </c>
      <c r="H13" s="12">
        <f t="shared" si="2"/>
        <v>68</v>
      </c>
      <c r="I13" s="12">
        <f t="shared" si="2"/>
        <v>171.5</v>
      </c>
      <c r="J13" s="12">
        <f t="shared" si="2"/>
        <v>205.39999999999998</v>
      </c>
      <c r="K13" s="12">
        <f t="shared" si="2"/>
        <v>163.6</v>
      </c>
      <c r="L13" s="11">
        <f t="shared" si="2"/>
        <v>176.39999999999998</v>
      </c>
    </row>
    <row r="14" spans="1:12" ht="15" thickBot="1" x14ac:dyDescent="0.35">
      <c r="B14" s="10" t="s">
        <v>5</v>
      </c>
      <c r="C14" s="3">
        <f>SUM(C5,C9,C13)</f>
        <v>42.7</v>
      </c>
      <c r="D14" s="3">
        <f t="shared" ref="D14:L14" si="3">SUM(D5,D9,D13)</f>
        <v>68.100000000000009</v>
      </c>
      <c r="E14" s="3">
        <f t="shared" si="3"/>
        <v>112.00000000000001</v>
      </c>
      <c r="F14" s="3">
        <f t="shared" si="3"/>
        <v>217.10000000000002</v>
      </c>
      <c r="G14" s="3">
        <f t="shared" si="3"/>
        <v>264.5</v>
      </c>
      <c r="H14" s="3">
        <f t="shared" si="3"/>
        <v>433.4</v>
      </c>
      <c r="I14" s="3">
        <f t="shared" si="3"/>
        <v>784.09999999999991</v>
      </c>
      <c r="J14" s="3">
        <f t="shared" si="3"/>
        <v>1144.8</v>
      </c>
      <c r="K14" s="3">
        <f t="shared" si="3"/>
        <v>1002.4</v>
      </c>
      <c r="L14" s="2">
        <f t="shared" si="3"/>
        <v>1118.6999999999998</v>
      </c>
    </row>
  </sheetData>
  <pageMargins left="0.7" right="0.7" top="0.75" bottom="0.75" header="0.3" footer="0.3"/>
  <pageSetup paperSize="9" orientation="portrait" verticalDpi="0" r:id="rId1"/>
  <ignoredErrors>
    <ignoredError sqref="C5 L5 D5:K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ClimateBonds-market-issued-2023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Thierry Roncalli</cp:lastModifiedBy>
  <dcterms:created xsi:type="dcterms:W3CDTF">2022-12-26T13:30:56Z</dcterms:created>
  <dcterms:modified xsi:type="dcterms:W3CDTF">2024-04-21T16:13:44Z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2022-12-26T13:30:36Z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5d5f729a-2f73-4462-9ec4-61f76c4f06b6</vt:lpwstr>
  </property>
  <property fmtid="{D5CDD505-2E9C-101B-9397-08002B2CF9AE}" pid="8" name="MSIP_Label_6ac45191-74e4-40a9-a4c5-ab5c9391e33a_ContentBits">
    <vt:lpwstr>0</vt:lpwstr>
  </property>
</Properties>
</file>