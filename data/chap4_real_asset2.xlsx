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4. ESG Products\Data\"/>
    </mc:Choice>
  </mc:AlternateContent>
  <xr:revisionPtr revIDLastSave="0" documentId="13_ncr:1_{2A4486BB-5F87-4945-A06C-64F5D82EEE7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cKinsey-1" sheetId="1" r:id="rId1"/>
    <sheet name="McKinsey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F24" i="1"/>
  <c r="E24" i="1"/>
  <c r="D24" i="1"/>
  <c r="C24" i="1"/>
  <c r="B24" i="1"/>
  <c r="E17" i="1"/>
  <c r="F18" i="1"/>
  <c r="F17" i="1" s="1"/>
  <c r="E18" i="1"/>
  <c r="D18" i="1"/>
  <c r="D17" i="1" s="1"/>
  <c r="C18" i="1"/>
  <c r="C17" i="1" s="1"/>
  <c r="B18" i="1"/>
  <c r="B17" i="1" s="1"/>
  <c r="I6" i="1"/>
  <c r="I5" i="1"/>
  <c r="I4" i="1"/>
  <c r="I3" i="1"/>
  <c r="H7" i="1"/>
  <c r="G7" i="1"/>
  <c r="F7" i="1"/>
  <c r="E7" i="1"/>
  <c r="D7" i="1"/>
  <c r="C7" i="1"/>
  <c r="B7" i="1"/>
  <c r="I7" i="1" l="1"/>
  <c r="F14" i="1" s="1"/>
  <c r="D14" i="1" l="1"/>
  <c r="C14" i="1"/>
  <c r="I13" i="1"/>
  <c r="G13" i="1"/>
  <c r="G12" i="1"/>
  <c r="G11" i="1"/>
  <c r="G10" i="1"/>
  <c r="E12" i="1"/>
  <c r="E10" i="1"/>
  <c r="I10" i="1"/>
  <c r="H14" i="1"/>
  <c r="H10" i="1"/>
  <c r="F13" i="1"/>
  <c r="F12" i="1"/>
  <c r="F11" i="1"/>
  <c r="F10" i="1"/>
  <c r="E13" i="1"/>
  <c r="E11" i="1"/>
  <c r="H11" i="1"/>
  <c r="D13" i="1"/>
  <c r="D12" i="1"/>
  <c r="D11" i="1"/>
  <c r="D10" i="1"/>
  <c r="B13" i="1"/>
  <c r="B11" i="1"/>
  <c r="B10" i="1"/>
  <c r="I14" i="1"/>
  <c r="H12" i="1"/>
  <c r="C13" i="1"/>
  <c r="C12" i="1"/>
  <c r="C11" i="1"/>
  <c r="C10" i="1"/>
  <c r="B12" i="1"/>
  <c r="I11" i="1"/>
  <c r="H13" i="1"/>
  <c r="B14" i="1"/>
  <c r="G14" i="1"/>
  <c r="I12" i="1"/>
  <c r="E14" i="1"/>
</calcChain>
</file>

<file path=xl/sharedStrings.xml><?xml version="1.0" encoding="utf-8"?>
<sst xmlns="http://schemas.openxmlformats.org/spreadsheetml/2006/main" count="49" uniqueCount="18">
  <si>
    <t>North America</t>
  </si>
  <si>
    <t>Europe</t>
  </si>
  <si>
    <t>Asia</t>
  </si>
  <si>
    <t>Other regions</t>
  </si>
  <si>
    <t>Total</t>
  </si>
  <si>
    <t>Buyout</t>
  </si>
  <si>
    <t>Venture capital</t>
  </si>
  <si>
    <t>Growth</t>
  </si>
  <si>
    <t>Other</t>
  </si>
  <si>
    <t>Private debt</t>
  </si>
  <si>
    <t>Real estate</t>
  </si>
  <si>
    <t>Infrastructure &amp; natural resources</t>
  </si>
  <si>
    <t>Private assets</t>
  </si>
  <si>
    <t>Private equity</t>
  </si>
  <si>
    <t>Real assets</t>
  </si>
  <si>
    <t>Asset class</t>
  </si>
  <si>
    <t>Infrastructure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</si>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</sst>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164" fontId="0" fillId="2" borderId="4" xfId="1" applyNumberFormat="1" applyFont="1" applyFill="1" applyBorder="1"/>
    <xf numFmtId="164" fontId="0" fillId="2" borderId="0" xfId="1" applyNumberFormat="1" applyFont="1" applyFill="1" applyBorder="1"/>
    <xf numFmtId="164" fontId="0" fillId="2" borderId="5" xfId="1" applyNumberFormat="1" applyFont="1" applyFill="1" applyBorder="1"/>
    <xf numFmtId="164" fontId="0" fillId="2" borderId="6" xfId="1" applyNumberFormat="1" applyFont="1" applyFill="1" applyBorder="1"/>
    <xf numFmtId="164" fontId="0" fillId="2" borderId="7" xfId="1" applyNumberFormat="1" applyFont="1" applyFill="1" applyBorder="1"/>
    <xf numFmtId="164" fontId="0" fillId="2" borderId="8" xfId="1" applyNumberFormat="1" applyFont="1" applyFill="1" applyBorder="1"/>
    <xf numFmtId="164" fontId="0" fillId="2" borderId="9" xfId="1" applyNumberFormat="1" applyFont="1" applyFill="1" applyBorder="1"/>
    <xf numFmtId="164" fontId="0" fillId="2" borderId="10" xfId="1" applyNumberFormat="1" applyFont="1" applyFill="1" applyBorder="1"/>
    <xf numFmtId="164" fontId="0" fillId="2" borderId="11" xfId="1" applyNumberFormat="1" applyFont="1" applyFill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164" fontId="0" fillId="2" borderId="6" xfId="0" applyNumberFormat="1" applyFill="1" applyBorder="1"/>
    <xf numFmtId="164" fontId="0" fillId="2" borderId="7" xfId="0" applyNumberFormat="1" applyFill="1" applyBorder="1"/>
    <xf numFmtId="164" fontId="0" fillId="2" borderId="8" xfId="0" applyNumberFormat="1" applyFill="1" applyBorder="1"/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opLeftCell="A3" workbookViewId="0">
      <selection activeCell="I20" sqref="I20"/>
    </sheetView>
  </sheetViews>
  <sheetFormatPr baseColWidth="10" defaultColWidth="8.88671875" defaultRowHeight="14.4" x14ac:dyDescent="0.3"/>
  <cols>
    <col min="1" max="1" width="30.6640625" style="1" customWidth="1"/>
    <col min="2" max="2" width="8.88671875" style="1"/>
    <col min="3" max="3" width="15.88671875" style="1" customWidth="1"/>
    <col min="4" max="4" width="8.88671875" style="1"/>
    <col min="5" max="5" width="8" style="1" customWidth="1"/>
    <col min="6" max="6" width="11" style="1" customWidth="1"/>
    <col min="7" max="7" width="12.109375" style="1" customWidth="1"/>
    <col min="8" max="8" width="15.6640625" style="1" customWidth="1"/>
    <col min="9" max="9" width="11.6640625" style="1" customWidth="1"/>
    <col min="10" max="16384" width="8.88671875" style="1"/>
  </cols>
  <sheetData>
    <row r="1" spans="1:9" ht="15" thickBot="1" x14ac:dyDescent="0.35"/>
    <row r="2" spans="1:9" ht="15" thickBot="1" x14ac:dyDescent="0.35">
      <c r="A2" s="6"/>
      <c r="B2" s="6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8" t="s">
        <v>11</v>
      </c>
      <c r="I2" s="8" t="s">
        <v>4</v>
      </c>
    </row>
    <row r="3" spans="1:9" x14ac:dyDescent="0.3">
      <c r="A3" s="3" t="s">
        <v>0</v>
      </c>
      <c r="B3" s="3">
        <v>2393</v>
      </c>
      <c r="C3" s="1">
        <v>1079</v>
      </c>
      <c r="D3" s="1">
        <v>625</v>
      </c>
      <c r="E3" s="1">
        <v>242</v>
      </c>
      <c r="F3" s="1">
        <v>1047</v>
      </c>
      <c r="G3" s="1">
        <v>989</v>
      </c>
      <c r="H3" s="4">
        <v>725</v>
      </c>
      <c r="I3" s="4">
        <f>SUM(B3:H3)</f>
        <v>7100</v>
      </c>
    </row>
    <row r="4" spans="1:9" x14ac:dyDescent="0.3">
      <c r="A4" s="3" t="s">
        <v>1</v>
      </c>
      <c r="B4" s="3">
        <v>1003</v>
      </c>
      <c r="C4" s="1">
        <v>213</v>
      </c>
      <c r="D4" s="1">
        <v>135</v>
      </c>
      <c r="E4" s="1">
        <v>6</v>
      </c>
      <c r="F4" s="1">
        <v>442</v>
      </c>
      <c r="G4" s="1">
        <v>379</v>
      </c>
      <c r="H4" s="4">
        <v>486</v>
      </c>
      <c r="I4" s="4">
        <f t="shared" ref="I4:I6" si="0">SUM(B4:H4)</f>
        <v>2664</v>
      </c>
    </row>
    <row r="5" spans="1:9" x14ac:dyDescent="0.3">
      <c r="A5" s="3" t="s">
        <v>2</v>
      </c>
      <c r="B5" s="3">
        <v>379</v>
      </c>
      <c r="C5" s="1">
        <v>1294</v>
      </c>
      <c r="D5" s="1">
        <v>515</v>
      </c>
      <c r="E5" s="1">
        <v>42</v>
      </c>
      <c r="F5" s="1">
        <v>117</v>
      </c>
      <c r="G5" s="1">
        <v>226</v>
      </c>
      <c r="H5" s="4">
        <v>151</v>
      </c>
      <c r="I5" s="4">
        <f t="shared" si="0"/>
        <v>2724</v>
      </c>
    </row>
    <row r="6" spans="1:9" ht="15" thickBot="1" x14ac:dyDescent="0.35">
      <c r="A6" s="3" t="s">
        <v>3</v>
      </c>
      <c r="B6" s="3">
        <v>98</v>
      </c>
      <c r="C6" s="1">
        <v>120</v>
      </c>
      <c r="D6" s="1">
        <v>97</v>
      </c>
      <c r="E6" s="1">
        <v>5</v>
      </c>
      <c r="F6" s="1">
        <v>87</v>
      </c>
      <c r="G6" s="1">
        <v>80</v>
      </c>
      <c r="H6" s="4">
        <v>147</v>
      </c>
      <c r="I6" s="4">
        <f t="shared" si="0"/>
        <v>634</v>
      </c>
    </row>
    <row r="7" spans="1:9" ht="15" thickBot="1" x14ac:dyDescent="0.35">
      <c r="A7" s="6" t="s">
        <v>4</v>
      </c>
      <c r="B7" s="6">
        <f>SUM(B3:B6)</f>
        <v>3873</v>
      </c>
      <c r="C7" s="7">
        <f t="shared" ref="C7:I7" si="1">SUM(C3:C6)</f>
        <v>2706</v>
      </c>
      <c r="D7" s="7">
        <f t="shared" si="1"/>
        <v>1372</v>
      </c>
      <c r="E7" s="7">
        <f t="shared" si="1"/>
        <v>295</v>
      </c>
      <c r="F7" s="7">
        <f t="shared" si="1"/>
        <v>1693</v>
      </c>
      <c r="G7" s="7">
        <f t="shared" si="1"/>
        <v>1674</v>
      </c>
      <c r="H7" s="8">
        <f t="shared" si="1"/>
        <v>1509</v>
      </c>
      <c r="I7" s="8">
        <f t="shared" si="1"/>
        <v>13122</v>
      </c>
    </row>
    <row r="8" spans="1:9" ht="15" thickBot="1" x14ac:dyDescent="0.35"/>
    <row r="9" spans="1:9" ht="15" thickBot="1" x14ac:dyDescent="0.35">
      <c r="A9" s="6"/>
      <c r="B9" s="6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8" t="s">
        <v>11</v>
      </c>
      <c r="I9" s="8" t="s">
        <v>4</v>
      </c>
    </row>
    <row r="10" spans="1:9" x14ac:dyDescent="0.3">
      <c r="A10" s="3" t="s">
        <v>0</v>
      </c>
      <c r="B10" s="9">
        <f>B3/$I$7</f>
        <v>0.18236549306508154</v>
      </c>
      <c r="C10" s="10">
        <f t="shared" ref="C10:I10" si="2">C3/$I$7</f>
        <v>8.2228318853833263E-2</v>
      </c>
      <c r="D10" s="10">
        <f t="shared" si="2"/>
        <v>4.762993446121018E-2</v>
      </c>
      <c r="E10" s="10">
        <f t="shared" si="2"/>
        <v>1.8442310623380583E-2</v>
      </c>
      <c r="F10" s="10">
        <f t="shared" si="2"/>
        <v>7.9789666209419297E-2</v>
      </c>
      <c r="G10" s="10">
        <f t="shared" si="2"/>
        <v>7.5369608291418991E-2</v>
      </c>
      <c r="H10" s="11">
        <f t="shared" si="2"/>
        <v>5.5250723975003808E-2</v>
      </c>
      <c r="I10" s="11">
        <f t="shared" si="2"/>
        <v>0.54107605547934767</v>
      </c>
    </row>
    <row r="11" spans="1:9" x14ac:dyDescent="0.3">
      <c r="A11" s="3" t="s">
        <v>1</v>
      </c>
      <c r="B11" s="9">
        <f t="shared" ref="B11:I11" si="3">B4/$I$7</f>
        <v>7.6436518823350105E-2</v>
      </c>
      <c r="C11" s="10">
        <f t="shared" si="3"/>
        <v>1.623228166438043E-2</v>
      </c>
      <c r="D11" s="10">
        <f t="shared" si="3"/>
        <v>1.0288065843621399E-2</v>
      </c>
      <c r="E11" s="10">
        <f t="shared" si="3"/>
        <v>4.5724737082761773E-4</v>
      </c>
      <c r="F11" s="10">
        <f t="shared" si="3"/>
        <v>3.3683889650967844E-2</v>
      </c>
      <c r="G11" s="10">
        <f t="shared" si="3"/>
        <v>2.8882792257277853E-2</v>
      </c>
      <c r="H11" s="11">
        <f t="shared" si="3"/>
        <v>3.7037037037037035E-2</v>
      </c>
      <c r="I11" s="11">
        <f t="shared" si="3"/>
        <v>0.20301783264746229</v>
      </c>
    </row>
    <row r="12" spans="1:9" x14ac:dyDescent="0.3">
      <c r="A12" s="3" t="s">
        <v>2</v>
      </c>
      <c r="B12" s="9">
        <f t="shared" ref="B12:I12" si="4">B5/$I$7</f>
        <v>2.8882792257277853E-2</v>
      </c>
      <c r="C12" s="10">
        <f t="shared" si="4"/>
        <v>9.8613016308489565E-2</v>
      </c>
      <c r="D12" s="10">
        <f t="shared" si="4"/>
        <v>3.9247065996037188E-2</v>
      </c>
      <c r="E12" s="10">
        <f t="shared" si="4"/>
        <v>3.200731595793324E-3</v>
      </c>
      <c r="F12" s="10">
        <f t="shared" si="4"/>
        <v>8.9163237311385458E-3</v>
      </c>
      <c r="G12" s="10">
        <f t="shared" si="4"/>
        <v>1.72229843011736E-2</v>
      </c>
      <c r="H12" s="11">
        <f t="shared" si="4"/>
        <v>1.1507392165828381E-2</v>
      </c>
      <c r="I12" s="11">
        <f t="shared" si="4"/>
        <v>0.20759030635573844</v>
      </c>
    </row>
    <row r="13" spans="1:9" ht="15" thickBot="1" x14ac:dyDescent="0.35">
      <c r="A13" s="3" t="s">
        <v>3</v>
      </c>
      <c r="B13" s="9">
        <f t="shared" ref="B13:I13" si="5">B6/$I$7</f>
        <v>7.4683737235177565E-3</v>
      </c>
      <c r="C13" s="10">
        <f t="shared" si="5"/>
        <v>9.1449474165523556E-3</v>
      </c>
      <c r="D13" s="10">
        <f t="shared" si="5"/>
        <v>7.3921658283798205E-3</v>
      </c>
      <c r="E13" s="10">
        <f t="shared" si="5"/>
        <v>3.8103947568968145E-4</v>
      </c>
      <c r="F13" s="10">
        <f t="shared" si="5"/>
        <v>6.6300868770004569E-3</v>
      </c>
      <c r="G13" s="10">
        <f t="shared" si="5"/>
        <v>6.0966316110349032E-3</v>
      </c>
      <c r="H13" s="11">
        <f t="shared" si="5"/>
        <v>1.1202560585276635E-2</v>
      </c>
      <c r="I13" s="11">
        <f t="shared" si="5"/>
        <v>4.8315805517451606E-2</v>
      </c>
    </row>
    <row r="14" spans="1:9" ht="15" thickBot="1" x14ac:dyDescent="0.35">
      <c r="A14" s="6" t="s">
        <v>4</v>
      </c>
      <c r="B14" s="15">
        <f t="shared" ref="B14:I14" si="6">B7/$I$7</f>
        <v>0.29515317786922723</v>
      </c>
      <c r="C14" s="16">
        <f t="shared" si="6"/>
        <v>0.2062185642432556</v>
      </c>
      <c r="D14" s="16">
        <f t="shared" si="6"/>
        <v>0.10455723212924858</v>
      </c>
      <c r="E14" s="16">
        <f t="shared" si="6"/>
        <v>2.2481329065691207E-2</v>
      </c>
      <c r="F14" s="16">
        <f t="shared" si="6"/>
        <v>0.12901996646852615</v>
      </c>
      <c r="G14" s="16">
        <f t="shared" si="6"/>
        <v>0.12757201646090535</v>
      </c>
      <c r="H14" s="17">
        <f t="shared" si="6"/>
        <v>0.11499771376314587</v>
      </c>
      <c r="I14" s="17">
        <f t="shared" si="6"/>
        <v>1</v>
      </c>
    </row>
    <row r="15" spans="1:9" ht="15" thickBot="1" x14ac:dyDescent="0.35"/>
    <row r="16" spans="1:9" ht="15" thickBot="1" x14ac:dyDescent="0.35">
      <c r="A16" s="6" t="s">
        <v>15</v>
      </c>
      <c r="B16" s="6" t="s">
        <v>0</v>
      </c>
      <c r="C16" s="7" t="s">
        <v>1</v>
      </c>
      <c r="D16" s="7" t="s">
        <v>2</v>
      </c>
      <c r="E16" s="7" t="s">
        <v>3</v>
      </c>
      <c r="F16" s="8" t="s">
        <v>4</v>
      </c>
    </row>
    <row r="17" spans="1:6" x14ac:dyDescent="0.3">
      <c r="A17" s="2" t="s">
        <v>12</v>
      </c>
      <c r="B17" s="18">
        <f>B18+B23</f>
        <v>0.41045572321292484</v>
      </c>
      <c r="C17" s="19">
        <f t="shared" ref="C17:F17" si="7">C18+C23</f>
        <v>0.13709800335314737</v>
      </c>
      <c r="D17" s="19">
        <f t="shared" si="7"/>
        <v>0.17885992988873647</v>
      </c>
      <c r="E17" s="19">
        <f t="shared" si="7"/>
        <v>3.1016613321140071E-2</v>
      </c>
      <c r="F17" s="20">
        <f t="shared" si="7"/>
        <v>0.75743026977594874</v>
      </c>
    </row>
    <row r="18" spans="1:6" ht="15" thickBot="1" x14ac:dyDescent="0.35">
      <c r="A18" s="5" t="s">
        <v>13</v>
      </c>
      <c r="B18" s="21">
        <f>SUM(B19:B22)</f>
        <v>0.33066605700350554</v>
      </c>
      <c r="C18" s="22">
        <f t="shared" ref="C18:F18" si="8">SUM(C19:C22)</f>
        <v>0.10341411370217954</v>
      </c>
      <c r="D18" s="22">
        <f t="shared" si="8"/>
        <v>0.16994360615759793</v>
      </c>
      <c r="E18" s="22">
        <f t="shared" si="8"/>
        <v>2.4386526444139613E-2</v>
      </c>
      <c r="F18" s="23">
        <f t="shared" si="8"/>
        <v>0.62841030330742265</v>
      </c>
    </row>
    <row r="19" spans="1:6" x14ac:dyDescent="0.3">
      <c r="A19" s="3" t="s">
        <v>5</v>
      </c>
      <c r="B19" s="9">
        <v>0.18236549306508154</v>
      </c>
      <c r="C19" s="10">
        <v>7.6436518823350105E-2</v>
      </c>
      <c r="D19" s="10">
        <v>2.8882792257277853E-2</v>
      </c>
      <c r="E19" s="10">
        <v>7.4683737235177565E-3</v>
      </c>
      <c r="F19" s="11">
        <v>0.29515317786922723</v>
      </c>
    </row>
    <row r="20" spans="1:6" x14ac:dyDescent="0.3">
      <c r="A20" s="3" t="s">
        <v>6</v>
      </c>
      <c r="B20" s="9">
        <v>8.2228318853833263E-2</v>
      </c>
      <c r="C20" s="10">
        <v>1.623228166438043E-2</v>
      </c>
      <c r="D20" s="10">
        <v>9.8613016308489565E-2</v>
      </c>
      <c r="E20" s="10">
        <v>9.1449474165523556E-3</v>
      </c>
      <c r="F20" s="11">
        <v>0.2062185642432556</v>
      </c>
    </row>
    <row r="21" spans="1:6" x14ac:dyDescent="0.3">
      <c r="A21" s="3" t="s">
        <v>7</v>
      </c>
      <c r="B21" s="9">
        <v>4.762993446121018E-2</v>
      </c>
      <c r="C21" s="10">
        <v>1.0288065843621399E-2</v>
      </c>
      <c r="D21" s="10">
        <v>3.9247065996037188E-2</v>
      </c>
      <c r="E21" s="10">
        <v>7.3921658283798205E-3</v>
      </c>
      <c r="F21" s="11">
        <v>0.10455723212924858</v>
      </c>
    </row>
    <row r="22" spans="1:6" x14ac:dyDescent="0.3">
      <c r="A22" s="3" t="s">
        <v>8</v>
      </c>
      <c r="B22" s="9">
        <v>1.8442310623380583E-2</v>
      </c>
      <c r="C22" s="10">
        <v>4.5724737082761773E-4</v>
      </c>
      <c r="D22" s="10">
        <v>3.200731595793324E-3</v>
      </c>
      <c r="E22" s="10">
        <v>3.8103947568968145E-4</v>
      </c>
      <c r="F22" s="11">
        <v>2.2481329065691207E-2</v>
      </c>
    </row>
    <row r="23" spans="1:6" ht="15" thickBot="1" x14ac:dyDescent="0.35">
      <c r="A23" s="3" t="s">
        <v>9</v>
      </c>
      <c r="B23" s="9">
        <v>7.9789666209419297E-2</v>
      </c>
      <c r="C23" s="10">
        <v>3.3683889650967844E-2</v>
      </c>
      <c r="D23" s="10">
        <v>8.9163237311385458E-3</v>
      </c>
      <c r="E23" s="10">
        <v>6.6300868770004569E-3</v>
      </c>
      <c r="F23" s="11">
        <v>0.12901996646852615</v>
      </c>
    </row>
    <row r="24" spans="1:6" ht="15" thickBot="1" x14ac:dyDescent="0.35">
      <c r="A24" s="6" t="s">
        <v>14</v>
      </c>
      <c r="B24" s="15">
        <f>B25+B26</f>
        <v>0.13062033226642281</v>
      </c>
      <c r="C24" s="16">
        <f t="shared" ref="C24:F24" si="9">C25+C26</f>
        <v>6.5919829294314891E-2</v>
      </c>
      <c r="D24" s="16">
        <f t="shared" si="9"/>
        <v>2.8730376467001981E-2</v>
      </c>
      <c r="E24" s="16">
        <f t="shared" si="9"/>
        <v>1.7299192196311538E-2</v>
      </c>
      <c r="F24" s="17">
        <f t="shared" si="9"/>
        <v>0.24256973022405121</v>
      </c>
    </row>
    <row r="25" spans="1:6" x14ac:dyDescent="0.3">
      <c r="A25" s="3" t="s">
        <v>10</v>
      </c>
      <c r="B25" s="9">
        <v>7.5369608291418991E-2</v>
      </c>
      <c r="C25" s="10">
        <v>2.8882792257277853E-2</v>
      </c>
      <c r="D25" s="10">
        <v>1.72229843011736E-2</v>
      </c>
      <c r="E25" s="10">
        <v>6.0966316110349032E-3</v>
      </c>
      <c r="F25" s="11">
        <v>0.12757201646090535</v>
      </c>
    </row>
    <row r="26" spans="1:6" ht="15" thickBot="1" x14ac:dyDescent="0.35">
      <c r="A26" s="5" t="s">
        <v>11</v>
      </c>
      <c r="B26" s="12">
        <v>5.5250723975003808E-2</v>
      </c>
      <c r="C26" s="13">
        <v>3.7037037037037035E-2</v>
      </c>
      <c r="D26" s="13">
        <v>1.1507392165828381E-2</v>
      </c>
      <c r="E26" s="13">
        <v>1.1202560585276635E-2</v>
      </c>
      <c r="F26" s="14">
        <v>0.11499771376314587</v>
      </c>
    </row>
    <row r="27" spans="1:6" ht="15" thickBot="1" x14ac:dyDescent="0.35">
      <c r="A27" s="6" t="s">
        <v>4</v>
      </c>
      <c r="B27" s="15">
        <v>0.54107605547934767</v>
      </c>
      <c r="C27" s="16">
        <v>0.20301783264746229</v>
      </c>
      <c r="D27" s="16">
        <v>0.20759030635573844</v>
      </c>
      <c r="E27" s="16">
        <v>4.8315805517451606E-2</v>
      </c>
      <c r="F27" s="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7FDF-8055-474F-AF8C-F8B8DD2F6EA4}">
  <dimension ref="A1:F11"/>
  <sheetViews>
    <sheetView tabSelected="1" workbookViewId="0"/>
  </sheetViews>
  <sheetFormatPr baseColWidth="10" defaultRowHeight="14.4" x14ac:dyDescent="0.3"/>
  <cols>
    <col min="2" max="5" width="11.5546875" style="24"/>
  </cols>
  <sheetData>
    <row r="1" spans="1:6" x14ac:dyDescent="0.3">
      <c r="A1" s="24" t="s">
        <v>17</v>
      </c>
      <c r="B1" s="24" t="s">
        <v>13</v>
      </c>
      <c r="C1" s="24" t="s">
        <v>9</v>
      </c>
      <c r="D1" s="24" t="s">
        <v>10</v>
      </c>
      <c r="E1" s="24" t="s">
        <v>16</v>
      </c>
      <c r="F1" s="24" t="s">
        <v>4</v>
      </c>
    </row>
    <row r="2" spans="1:6" x14ac:dyDescent="0.3">
      <c r="A2">
        <v>2014</v>
      </c>
      <c r="B2" s="24">
        <v>6.4</v>
      </c>
      <c r="C2" s="24">
        <v>1</v>
      </c>
      <c r="D2" s="24">
        <v>6.4</v>
      </c>
      <c r="E2" s="24">
        <v>3.5</v>
      </c>
      <c r="F2">
        <f>SUM(B2:E2)</f>
        <v>17.3</v>
      </c>
    </row>
    <row r="3" spans="1:6" x14ac:dyDescent="0.3">
      <c r="A3">
        <v>2015</v>
      </c>
      <c r="B3" s="24">
        <v>6.3</v>
      </c>
      <c r="C3" s="24">
        <v>1</v>
      </c>
      <c r="D3" s="24">
        <v>6.4</v>
      </c>
      <c r="E3" s="24">
        <v>3.6</v>
      </c>
      <c r="F3">
        <f>SUM(B3:E3)</f>
        <v>17.3</v>
      </c>
    </row>
    <row r="4" spans="1:6" x14ac:dyDescent="0.3">
      <c r="A4">
        <v>2016</v>
      </c>
      <c r="B4" s="24">
        <v>6.2</v>
      </c>
      <c r="C4" s="24">
        <v>1.1000000000000001</v>
      </c>
      <c r="D4" s="24">
        <v>6.9</v>
      </c>
      <c r="E4" s="24">
        <v>3.9</v>
      </c>
      <c r="F4">
        <f>SUM(B4:E4)</f>
        <v>18.100000000000001</v>
      </c>
    </row>
    <row r="5" spans="1:6" x14ac:dyDescent="0.3">
      <c r="A5">
        <v>2017</v>
      </c>
      <c r="B5" s="24">
        <v>6.4</v>
      </c>
      <c r="C5" s="24">
        <v>1.2</v>
      </c>
      <c r="D5" s="24">
        <v>7.3</v>
      </c>
      <c r="E5" s="24">
        <v>4.4000000000000004</v>
      </c>
      <c r="F5">
        <f>SUM(B5:E5)</f>
        <v>19.3</v>
      </c>
    </row>
    <row r="6" spans="1:6" x14ac:dyDescent="0.3">
      <c r="A6">
        <v>2018</v>
      </c>
      <c r="B6" s="24">
        <v>6.3</v>
      </c>
      <c r="C6" s="24">
        <v>1.3</v>
      </c>
      <c r="D6" s="24">
        <v>7</v>
      </c>
      <c r="E6" s="24">
        <v>4.5999999999999996</v>
      </c>
      <c r="F6">
        <f>SUM(B6:E6)</f>
        <v>19.2</v>
      </c>
    </row>
    <row r="7" spans="1:6" x14ac:dyDescent="0.3">
      <c r="A7">
        <v>2019</v>
      </c>
      <c r="B7" s="24">
        <v>6.7</v>
      </c>
      <c r="C7" s="24">
        <v>1.6</v>
      </c>
      <c r="D7" s="24">
        <v>7.3</v>
      </c>
      <c r="E7" s="24">
        <v>5</v>
      </c>
      <c r="F7">
        <f>SUM(B7:E7)</f>
        <v>20.6</v>
      </c>
    </row>
    <row r="8" spans="1:6" x14ac:dyDescent="0.3">
      <c r="A8">
        <v>2020</v>
      </c>
      <c r="B8" s="24">
        <v>7.1</v>
      </c>
      <c r="C8" s="24">
        <v>2</v>
      </c>
      <c r="D8" s="24">
        <v>7.3</v>
      </c>
      <c r="E8" s="24">
        <v>5.2</v>
      </c>
      <c r="F8">
        <f>SUM(B8:E8)</f>
        <v>21.599999999999998</v>
      </c>
    </row>
    <row r="9" spans="1:6" x14ac:dyDescent="0.3">
      <c r="A9">
        <v>2021</v>
      </c>
      <c r="B9" s="24">
        <v>7.5</v>
      </c>
      <c r="C9" s="24">
        <v>1.8</v>
      </c>
      <c r="D9" s="24">
        <v>7</v>
      </c>
      <c r="E9" s="24">
        <v>5.0999999999999996</v>
      </c>
      <c r="F9">
        <f>SUM(B9:E9)</f>
        <v>21.4</v>
      </c>
    </row>
    <row r="10" spans="1:6" x14ac:dyDescent="0.3">
      <c r="A10">
        <v>2022</v>
      </c>
      <c r="B10" s="24">
        <v>8.5</v>
      </c>
      <c r="C10" s="24">
        <v>2.1</v>
      </c>
      <c r="D10" s="24">
        <v>6.6</v>
      </c>
      <c r="E10" s="24">
        <v>5.4</v>
      </c>
      <c r="F10">
        <f>SUM(B10:E10)</f>
        <v>22.6</v>
      </c>
    </row>
    <row r="11" spans="1:6" x14ac:dyDescent="0.3">
      <c r="A11">
        <v>2023</v>
      </c>
      <c r="B11" s="24">
        <v>10.1</v>
      </c>
      <c r="C11" s="24">
        <v>2.7</v>
      </c>
      <c r="D11" s="24">
        <v>7.8</v>
      </c>
      <c r="E11" s="24">
        <v>6.4</v>
      </c>
      <c r="F11">
        <f>SUM(B11:E11)</f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McKinsey-1</vt:lpstr>
      <vt:lpstr>McKinsey-2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2024-05-04T12:51:26Z</dcterms:modified>
</cp:coreProperties>
</file>